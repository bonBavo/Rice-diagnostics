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ject Plan" sheetId="1" state="visible" r:id="rId1"/>
    <sheet name="Status Tracker" sheetId="2" state="visible" r:id="rId2"/>
    <sheet name="Decisions" sheetId="3" state="visible" r:id="rId3"/>
    <sheet name="How It Works" sheetId="4" state="visible" r:id="rId4"/>
    <sheet name="Photo Log" sheetId="5" state="visible" r:id="rId5"/>
  </sheets>
  <definedNames/>
  <calcPr calcId="124519" fullCalcOnLoad="1" refMode="A1" iterate="0" iterateCount="100" iterateDelta="0.0001" forceFullCalc="1"/>
</workbook>
</file>

<file path=xl/styles.xml><?xml version="1.0" encoding="utf-8"?>
<styleSheet xmlns="http://schemas.openxmlformats.org/spreadsheetml/2006/main">
  <numFmts count="1">
    <numFmt numFmtId="164" formatCode="dd\-mmm\-yyyy"/>
  </numFmts>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2F5D3A"/>
      <sz val="14"/>
    </font>
    <font>
      <name val="Arial"/>
      <charset val="1"/>
      <family val="0"/>
      <i val="1"/>
      <color rgb="FF595959"/>
      <sz val="9"/>
    </font>
    <font>
      <name val="Arial"/>
      <charset val="1"/>
      <family val="0"/>
      <color rgb="FF404040"/>
      <sz val="9"/>
    </font>
    <font>
      <name val="Arial"/>
      <charset val="1"/>
      <family val="0"/>
      <i val="1"/>
      <color rgb="FF7F7F7F"/>
      <sz val="9"/>
    </font>
    <font>
      <name val="Arial"/>
      <charset val="1"/>
      <family val="0"/>
      <b val="1"/>
      <color rgb="FFFFFFFF"/>
      <sz val="10"/>
    </font>
    <font>
      <name val="Arial"/>
      <charset val="1"/>
      <family val="0"/>
      <color rgb="FF000000"/>
      <sz val="10"/>
    </font>
    <font>
      <name val="Arial"/>
      <charset val="1"/>
      <family val="0"/>
      <b val="1"/>
      <color rgb="FF000000"/>
      <sz val="10"/>
    </font>
    <font>
      <name val="Arial"/>
      <charset val="1"/>
      <family val="0"/>
      <b val="1"/>
      <color rgb="FF2F5D3A"/>
      <sz val="11"/>
    </font>
    <font>
      <name val="Arial"/>
      <charset val="1"/>
      <family val="0"/>
      <color rgb="FF0000FF"/>
      <sz val="10"/>
    </font>
  </fonts>
  <fills count="5">
    <fill>
      <patternFill/>
    </fill>
    <fill>
      <patternFill patternType="gray125"/>
    </fill>
    <fill>
      <patternFill patternType="solid">
        <fgColor rgb="FFEAF2EA"/>
        <bgColor rgb="FFE7E6E6"/>
      </patternFill>
    </fill>
    <fill>
      <patternFill patternType="solid">
        <fgColor rgb="FF2F5D3A"/>
        <bgColor rgb="FF404040"/>
      </patternFill>
    </fill>
    <fill>
      <patternFill patternType="solid">
        <fgColor rgb="FFFFF2CC"/>
        <bgColor rgb="FFEAF2E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center" wrapText="1"/>
    </xf>
    <xf numFmtId="0" fontId="7" fillId="0" borderId="1" applyAlignment="1" pivotButton="0" quotePrefix="0" xfId="0">
      <alignment horizontal="general" vertical="top" wrapText="1"/>
    </xf>
    <xf numFmtId="164" fontId="7" fillId="0" borderId="1" applyAlignment="1" pivotButton="0" quotePrefix="0" xfId="0">
      <alignment horizontal="general" vertical="top" wrapText="1"/>
    </xf>
    <xf numFmtId="0" fontId="8" fillId="3" borderId="1" applyAlignment="1" pivotButton="0" quotePrefix="0" xfId="0">
      <alignment horizontal="left" vertical="center" wrapText="1"/>
    </xf>
    <xf numFmtId="0" fontId="9" fillId="0" borderId="1" applyAlignment="1" pivotButton="0" quotePrefix="0" xfId="0">
      <alignment horizontal="center" vertical="top" wrapText="1"/>
    </xf>
    <xf numFmtId="0" fontId="10"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4" borderId="1" applyAlignment="1" pivotButton="0" quotePrefix="0" xfId="0">
      <alignment horizontal="center" vertical="top" wrapText="1"/>
    </xf>
    <xf numFmtId="164" fontId="9" fillId="4" borderId="1" applyAlignment="1" pivotButton="0" quotePrefix="0" xfId="0">
      <alignment horizontal="center" vertical="top" wrapText="1"/>
    </xf>
    <xf numFmtId="0" fontId="9" fillId="4" borderId="1" applyAlignment="1" pivotButton="0" quotePrefix="0" xfId="0">
      <alignment horizontal="left" vertical="top" wrapText="1"/>
    </xf>
    <xf numFmtId="0" fontId="10" fillId="0" borderId="0" applyAlignment="1" pivotButton="0" quotePrefix="0" xfId="0">
      <alignment horizontal="general" vertical="bottom"/>
    </xf>
    <xf numFmtId="0" fontId="9" fillId="0" borderId="0" applyAlignment="1" pivotButton="0" quotePrefix="0" xfId="0">
      <alignment horizontal="left" vertical="bottom"/>
    </xf>
    <xf numFmtId="9" fontId="9" fillId="0" borderId="0" applyAlignment="1" pivotButton="0" quotePrefix="0" xfId="0">
      <alignment horizontal="left" vertical="bottom"/>
    </xf>
    <xf numFmtId="0" fontId="11" fillId="0" borderId="0" applyAlignment="1" pivotButton="0" quotePrefix="0" xfId="0">
      <alignment horizontal="general" vertical="bottom"/>
    </xf>
    <xf numFmtId="0" fontId="8" fillId="3" borderId="1" applyAlignment="1" pivotButton="0" quotePrefix="0" xfId="0">
      <alignment horizontal="left" vertical="bottom"/>
    </xf>
    <xf numFmtId="0" fontId="8" fillId="3" borderId="1" applyAlignment="1" pivotButton="0" quotePrefix="0" xfId="0">
      <alignment horizontal="center" vertical="bottom"/>
    </xf>
    <xf numFmtId="0" fontId="9" fillId="0" borderId="1" applyAlignment="1" pivotButton="0" quotePrefix="0" xfId="0">
      <alignment horizontal="left" vertical="bottom"/>
    </xf>
    <xf numFmtId="0" fontId="9" fillId="0" borderId="1" applyAlignment="1" pivotButton="0" quotePrefix="0" xfId="0">
      <alignment horizontal="center" vertical="bottom"/>
    </xf>
    <xf numFmtId="0" fontId="10" fillId="0" borderId="1" applyAlignment="1" pivotButton="0" quotePrefix="0" xfId="0">
      <alignment horizontal="left" vertical="bottom"/>
    </xf>
    <xf numFmtId="0" fontId="10" fillId="0" borderId="1" applyAlignment="1" pivotButton="0" quotePrefix="0" xfId="0">
      <alignment horizontal="center" vertical="bottom"/>
    </xf>
    <xf numFmtId="0" fontId="6" fillId="0" borderId="0" applyAlignment="1" pivotButton="0" quotePrefix="0" xfId="0">
      <alignment horizontal="general" vertical="top" wrapText="1"/>
    </xf>
    <xf numFmtId="0" fontId="12" fillId="4" borderId="1" applyAlignment="1" pivotButton="0" quotePrefix="0" xfId="0">
      <alignment horizontal="center" vertical="bottom"/>
    </xf>
    <xf numFmtId="9" fontId="9" fillId="0" borderId="1" applyAlignment="1" pivotButton="0" quotePrefix="0" xfId="0">
      <alignment horizontal="center" vertical="bottom"/>
    </xf>
    <xf numFmtId="0" fontId="9" fillId="0" borderId="1" applyAlignment="1" pivotButton="0" quotePrefix="0" xfId="0">
      <alignment horizontal="center" vertical="top"/>
    </xf>
    <xf numFmtId="0" fontId="9" fillId="4" borderId="1" applyAlignment="1" pivotButton="0" quotePrefix="0" xfId="0">
      <alignment horizontal="left" vertical="top"/>
    </xf>
    <xf numFmtId="164" fontId="9" fillId="4" borderId="1" applyAlignment="1" pivotButton="0" quotePrefix="0" xfId="0">
      <alignment horizontal="left" vertical="top"/>
    </xf>
    <xf numFmtId="9" fontId="10" fillId="0" borderId="1" applyAlignment="1" pivotButton="0" quotePrefix="0" xfId="0">
      <alignment horizontal="center" vertical="bottom"/>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0" applyAlignment="1" pivotButton="0" quotePrefix="0" xfId="0">
      <alignment horizontal="general" vertical="center" wrapText="1"/>
    </xf>
    <xf numFmtId="0" fontId="7" fillId="0" borderId="1" applyAlignment="1" pivotButton="0" quotePrefix="0" xfId="0">
      <alignment horizontal="general" vertical="top" wrapText="1"/>
    </xf>
    <xf numFmtId="164" fontId="7" fillId="0" borderId="1" applyAlignment="1" pivotButton="0" quotePrefix="0" xfId="0">
      <alignment horizontal="general" vertical="top" wrapText="1"/>
    </xf>
    <xf numFmtId="0" fontId="8" fillId="3" borderId="1" applyAlignment="1" pivotButton="0" quotePrefix="0" xfId="0">
      <alignment horizontal="left" vertical="center" wrapText="1"/>
    </xf>
    <xf numFmtId="0" fontId="9" fillId="0" borderId="1" applyAlignment="1" pivotButton="0" quotePrefix="0" xfId="0">
      <alignment horizontal="center" vertical="top" wrapText="1"/>
    </xf>
    <xf numFmtId="0" fontId="10"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4" borderId="1" applyAlignment="1" pivotButton="0" quotePrefix="0" xfId="0">
      <alignment horizontal="center" vertical="top" wrapText="1"/>
    </xf>
    <xf numFmtId="164" fontId="9" fillId="4" borderId="1" applyAlignment="1" pivotButton="0" quotePrefix="0" xfId="0">
      <alignment horizontal="center" vertical="top" wrapText="1"/>
    </xf>
    <xf numFmtId="0" fontId="9" fillId="4" borderId="1" applyAlignment="1" pivotButton="0" quotePrefix="0" xfId="0">
      <alignment horizontal="left" vertical="top" wrapText="1"/>
    </xf>
    <xf numFmtId="0" fontId="10" fillId="0" borderId="0" applyAlignment="1" pivotButton="0" quotePrefix="0" xfId="0">
      <alignment horizontal="general" vertical="bottom"/>
    </xf>
    <xf numFmtId="0" fontId="9" fillId="0" borderId="0" applyAlignment="1" pivotButton="0" quotePrefix="0" xfId="0">
      <alignment horizontal="left" vertical="bottom"/>
    </xf>
    <xf numFmtId="9" fontId="9" fillId="0" borderId="0" applyAlignment="1" pivotButton="0" quotePrefix="0" xfId="0">
      <alignment horizontal="left" vertical="bottom"/>
    </xf>
    <xf numFmtId="0" fontId="11" fillId="0" borderId="0" applyAlignment="1" pivotButton="0" quotePrefix="0" xfId="0">
      <alignment horizontal="general" vertical="bottom"/>
    </xf>
    <xf numFmtId="0" fontId="8" fillId="3" borderId="1" applyAlignment="1" pivotButton="0" quotePrefix="0" xfId="0">
      <alignment horizontal="left" vertical="bottom"/>
    </xf>
    <xf numFmtId="0" fontId="8" fillId="3" borderId="1" applyAlignment="1" pivotButton="0" quotePrefix="0" xfId="0">
      <alignment horizontal="center" vertical="bottom"/>
    </xf>
    <xf numFmtId="0" fontId="9" fillId="0" borderId="1" applyAlignment="1" pivotButton="0" quotePrefix="0" xfId="0">
      <alignment horizontal="left" vertical="bottom"/>
    </xf>
    <xf numFmtId="0" fontId="9" fillId="0" borderId="1" applyAlignment="1" pivotButton="0" quotePrefix="0" xfId="0">
      <alignment horizontal="center" vertical="bottom"/>
    </xf>
    <xf numFmtId="0" fontId="10" fillId="0" borderId="1" applyAlignment="1" pivotButton="0" quotePrefix="0" xfId="0">
      <alignment horizontal="left" vertical="bottom"/>
    </xf>
    <xf numFmtId="0" fontId="10" fillId="0" borderId="1" applyAlignment="1" pivotButton="0" quotePrefix="0" xfId="0">
      <alignment horizontal="center" vertical="bottom"/>
    </xf>
    <xf numFmtId="0" fontId="6" fillId="0" borderId="0" applyAlignment="1" pivotButton="0" quotePrefix="0" xfId="0">
      <alignment horizontal="general" vertical="top" wrapText="1"/>
    </xf>
    <xf numFmtId="0" fontId="12" fillId="4" borderId="1" applyAlignment="1" pivotButton="0" quotePrefix="0" xfId="0">
      <alignment horizontal="center" vertical="bottom"/>
    </xf>
    <xf numFmtId="9" fontId="9" fillId="0" borderId="1" applyAlignment="1" pivotButton="0" quotePrefix="0" xfId="0">
      <alignment horizontal="center" vertical="bottom"/>
    </xf>
    <xf numFmtId="0" fontId="9" fillId="0" borderId="1" applyAlignment="1" pivotButton="0" quotePrefix="0" xfId="0">
      <alignment horizontal="center" vertical="top"/>
    </xf>
    <xf numFmtId="0" fontId="9" fillId="4" borderId="1" applyAlignment="1" pivotButton="0" quotePrefix="0" xfId="0">
      <alignment horizontal="left" vertical="top"/>
    </xf>
    <xf numFmtId="164" fontId="9" fillId="4" borderId="1" applyAlignment="1" pivotButton="0" quotePrefix="0" xfId="0">
      <alignment horizontal="left" vertical="top"/>
    </xf>
    <xf numFmtId="9" fontId="10" fillId="0" borderId="1" applyAlignment="1" pivotButton="0" quotePrefix="0" xfId="0">
      <alignment horizontal="center" vertical="bottom"/>
    </xf>
    <xf numFmtId="0" fontId="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ont>
        <name val="Arial"/>
        <charset val="1"/>
        <family val="0"/>
        <color rgb="FF006100"/>
      </font>
      <fill>
        <patternFill>
          <bgColor rgb="FFC6EFCE"/>
        </patternFill>
      </fill>
    </dxf>
    <dxf>
      <font>
        <name val="Arial"/>
        <charset val="1"/>
        <family val="0"/>
        <color rgb="FF9C5700"/>
      </font>
      <fill>
        <patternFill>
          <bgColor rgb="FFFFEB9C"/>
        </patternFill>
      </fill>
    </dxf>
    <dxf>
      <font>
        <name val="Arial"/>
        <charset val="1"/>
        <family val="0"/>
        <color rgb="FF595959"/>
      </font>
      <fill>
        <patternFill>
          <bgColor rgb="FFE7E6E6"/>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7F7F7F"/>
      <rgbColor rgb="FF9999FF"/>
      <rgbColor rgb="FF993366"/>
      <rgbColor rgb="FFFFF2CC"/>
      <rgbColor rgb="FFEAF2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7E6E6"/>
      <rgbColor rgb="FFC6EFCE"/>
      <rgbColor rgb="FFFFEB9C"/>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2F5D3A"/>
      <rgbColor rgb="FF9C5700"/>
      <rgbColor rgb="FF993366"/>
      <rgbColor rgb="FF33339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H18"/>
  <sheetViews>
    <sheetView showFormulas="0" showGridLines="0" showRowColHeaders="1" showZeros="1" rightToLeft="0" tabSelected="1"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31" min="1" max="1"/>
    <col width="26" customWidth="1" style="31" min="2" max="2"/>
    <col width="58" customWidth="1" style="31" min="3" max="3"/>
    <col width="34" customWidth="1" style="31" min="4" max="4"/>
    <col width="30" customWidth="1" style="31" min="5" max="5"/>
    <col width="14" customWidth="1" style="31" min="6" max="7"/>
    <col width="34" customWidth="1" style="31" min="8" max="8"/>
  </cols>
  <sheetData>
    <row r="1" ht="24" customHeight="1" s="32">
      <c r="A1" s="33" t="inlineStr">
        <is>
          <t>Rice Disease Diagnostic System - Project Plan</t>
        </is>
      </c>
    </row>
    <row r="2" ht="15" customHeight="1" s="32">
      <c r="A2" s="34" t="inlineStr">
        <is>
          <t>Mwea case study | CNN-based web app | Steps in the order they need to be done</t>
        </is>
      </c>
    </row>
    <row r="4" ht="30" customHeight="1" s="32">
      <c r="A4" s="35" t="inlineStr">
        <is>
          <t>How to use: yellow cells are yours to edit. Pick a Status from the dropdown, enter a Target date (dd-mmm-yyyy) and any Notes. The progress figures below the table update automatically.</t>
        </is>
      </c>
    </row>
    <row r="5" ht="27.75" customHeight="1" s="32">
      <c r="A5" s="36" t="inlineStr">
        <is>
          <t>Ex.</t>
        </is>
      </c>
      <c r="B5" s="36" t="inlineStr">
        <is>
          <t>Example step (ignore this row)</t>
        </is>
      </c>
      <c r="C5" s="36" t="inlineStr">
        <is>
          <t>Shows the expected format for the yellow columns.</t>
        </is>
      </c>
      <c r="D5" s="36" t="n"/>
      <c r="E5" s="36" t="n"/>
      <c r="F5" s="36" t="inlineStr">
        <is>
          <t>In progress</t>
        </is>
      </c>
      <c r="G5" s="37" t="n">
        <v>46341</v>
      </c>
      <c r="H5" s="36" t="inlineStr">
        <is>
          <t>Waiting for KALRO reply</t>
        </is>
      </c>
    </row>
    <row r="7" ht="24" customHeight="1" s="32">
      <c r="A7" s="38" t="inlineStr">
        <is>
          <t>#</t>
        </is>
      </c>
      <c r="B7" s="38" t="inlineStr">
        <is>
          <t>Step</t>
        </is>
      </c>
      <c r="C7" s="38" t="inlineStr">
        <is>
          <t>What to do</t>
        </is>
      </c>
      <c r="D7" s="38" t="inlineStr">
        <is>
          <t>Output / evidence</t>
        </is>
      </c>
      <c r="E7" s="38" t="inlineStr">
        <is>
          <t>Feeds report section</t>
        </is>
      </c>
      <c r="F7" s="38" t="inlineStr">
        <is>
          <t>Status</t>
        </is>
      </c>
      <c r="G7" s="38" t="inlineStr">
        <is>
          <t>Target date</t>
        </is>
      </c>
      <c r="H7" s="38" t="inlineStr">
        <is>
          <t>Notes</t>
        </is>
      </c>
    </row>
    <row r="8" ht="46.5" customHeight="1" s="32">
      <c r="A8" s="39" t="n">
        <v>1</v>
      </c>
      <c r="B8" s="40" t="inlineStr">
        <is>
          <t>Decide the scope</t>
        </is>
      </c>
      <c r="C8" s="41" t="inlineStr">
        <is>
          <t>Pick the 4-6 diseases you will cover and whether you are building a website or an Android app. Confirm the disease list with KALRO or the Mwea extension officers.</t>
        </is>
      </c>
      <c r="D8" s="41" t="inlineStr">
        <is>
          <t>A short scope statement agreed with your supervisor</t>
        </is>
      </c>
      <c r="E8" s="41" t="inlineStr">
        <is>
          <t>1.6 Objectives, 1.8 Scope, 3.6 Implementation</t>
        </is>
      </c>
      <c r="F8" s="42" t="inlineStr">
        <is>
          <t>In progress</t>
        </is>
      </c>
      <c r="G8" s="43" t="n"/>
      <c r="H8" s="44" t="inlineStr">
        <is>
          <t>Scope drafted (see Decisions sheet); waiting for your supervisor to agree.</t>
        </is>
      </c>
    </row>
    <row r="9" ht="46.5" customHeight="1" s="32">
      <c r="A9" s="39" t="n">
        <v>2</v>
      </c>
      <c r="B9" s="40" t="inlineStr">
        <is>
          <t>Get the data</t>
        </is>
      </c>
      <c r="C9" s="41" t="inlineStr">
        <is>
          <t>Arrange labelled leaf photos in one folder per disease. Start with a public rice leaf dataset, then add photos from Mwea checked by an extension officer.</t>
        </is>
      </c>
      <c r="D9" s="41" t="inlineStr">
        <is>
          <t>dataset/ folder with one sub-folder per class</t>
        </is>
      </c>
      <c r="E9" s="41" t="inlineStr">
        <is>
          <t>3.3 Data collection (dataset not yet named)</t>
        </is>
      </c>
      <c r="F9" s="42" t="inlineStr">
        <is>
          <t>In progress</t>
        </is>
      </c>
      <c r="G9" s="43" t="n"/>
      <c r="H9" s="44" t="inlineStr">
        <is>
          <t>Six supported classes organized from local and Kaggle training data: 5,344 unique images; Kaggle validation kept separate (518 unique images). No Mwea field images or expert confirmations yet.</t>
        </is>
      </c>
    </row>
    <row r="10" ht="33" customHeight="1" s="32">
      <c r="A10" s="39" t="n">
        <v>3</v>
      </c>
      <c r="B10" s="40" t="inlineStr">
        <is>
          <t>Train and evaluate the model</t>
        </is>
      </c>
      <c r="C10" s="41" t="inlineStr">
        <is>
          <t>Run the rice_cnn.py script on your dataset. Hold back photos the model never sees during training and score it on those.</t>
        </is>
      </c>
      <c r="D10" s="41" t="inlineStr">
        <is>
          <t>Accuracy, precision, recall, confusion matrix, saved model</t>
        </is>
      </c>
      <c r="E10" s="41" t="inlineStr">
        <is>
          <t>3.5.6 Pseudo code, new Results chapter</t>
        </is>
      </c>
      <c r="F10" s="42" t="inlineStr">
        <is>
          <t>Done</t>
        </is>
      </c>
      <c r="G10" s="43" t="n"/>
      <c r="H10" s="44" t="inlineStr">
        <is>
          <t>Six-class CNN trained for 5 epochs. Grouped internal test (799): accuracy 85.73%, macro precision/recall/F1 0.8427/0.8886/0.8556. Separate Kaggle validation (518): accuracy 72.39%, macro P/R/F1 0.7658/0.7222/0.7158. Reports and confusion matrices saved in model/. Dataset-only results; not Mwea field performance.</t>
        </is>
      </c>
    </row>
    <row r="11" ht="33" customHeight="1" s="32">
      <c r="A11" s="39" t="n">
        <v>4</v>
      </c>
      <c r="B11" s="40" t="inlineStr">
        <is>
          <t>Build the website</t>
        </is>
      </c>
      <c r="C11" s="41" t="inlineStr">
        <is>
          <t>A simple page with an upload button that calls the trained model and shows the result.</t>
        </is>
      </c>
      <c r="D11" s="41" t="inlineStr">
        <is>
          <t>Working web app (upload, diagnosis, confidence, history log)</t>
        </is>
      </c>
      <c r="E11" s="41" t="inlineStr">
        <is>
          <t>5.2 Proposed system, I/O design and mock-up screens</t>
        </is>
      </c>
      <c r="F11" s="42" t="inlineStr">
        <is>
          <t>Done</t>
        </is>
      </c>
      <c r="G11" s="43" t="n"/>
      <c r="H11" s="44" t="inlineStr">
        <is>
          <t>Flask application now serves the six-class model; upload, prediction, confidence, history, health check, and 14 automated tests verified.</t>
        </is>
      </c>
    </row>
    <row r="12" ht="46.5" customHeight="1" s="32">
      <c r="A12" s="39" t="n">
        <v>5</v>
      </c>
      <c r="B12" s="40" t="inlineStr">
        <is>
          <t>Test it with real people</t>
        </is>
      </c>
      <c r="C12" s="41" t="inlineStr">
        <is>
          <t>Farmers and extension officers try it: the questionnaires and interviews already promised in Chapter 3.</t>
        </is>
      </c>
      <c r="D12" s="41" t="inlineStr">
        <is>
          <t>Feedback forms and test results</t>
        </is>
      </c>
      <c r="E12" s="41" t="inlineStr">
        <is>
          <t>3.3.3 Interviews, 3.3.4 Questionnaires, 3.7 Testing, Results chapter</t>
        </is>
      </c>
      <c r="F12" s="42" t="inlineStr">
        <is>
          <t>Not started</t>
        </is>
      </c>
      <c r="G12" s="43" t="n"/>
      <c r="H12" s="44" t="inlineStr">
        <is>
          <t>Get permission and consent first.</t>
        </is>
      </c>
    </row>
    <row r="13" ht="46.5" customHeight="1" s="32">
      <c r="A13" s="39" t="n">
        <v>6</v>
      </c>
      <c r="B13" s="40" t="inlineStr">
        <is>
          <t>Finish the report</t>
        </is>
      </c>
      <c r="C13" s="41" t="inlineStr">
        <is>
          <t>Write section 4.5 and the rest of Chapter 5, add the missing diagrams (Figures 3.1-3.5), a results chapter and a conclusion.</t>
        </is>
      </c>
      <c r="D13" s="41" t="inlineStr">
        <is>
          <t>Complete report</t>
        </is>
      </c>
      <c r="E13" s="41" t="inlineStr">
        <is>
          <t>4.5, Chapter 5, Results chapter, Conclusion</t>
        </is>
      </c>
      <c r="F13" s="42" t="inlineStr">
        <is>
          <t>In progress</t>
        </is>
      </c>
      <c r="G13" s="43" t="n"/>
      <c r="H13" s="44" t="inlineStr">
        <is>
          <t>Ask your supervisor which chapters are expected after Chapter 5.</t>
        </is>
      </c>
    </row>
    <row r="15" ht="15" customHeight="1" s="32">
      <c r="B15" s="45" t="inlineStr">
        <is>
          <t>Steps done</t>
        </is>
      </c>
      <c r="C15" s="46">
        <f>COUNTIF(F8:F13,"Done")</f>
        <v/>
      </c>
    </row>
    <row r="16" ht="15" customHeight="1" s="32">
      <c r="B16" s="45" t="inlineStr">
        <is>
          <t>Steps in progress</t>
        </is>
      </c>
      <c r="C16" s="46">
        <f>COUNTIF(F8:F13,"In progress")</f>
        <v/>
      </c>
    </row>
    <row r="17" ht="15" customHeight="1" s="32">
      <c r="B17" s="45" t="inlineStr">
        <is>
          <t>Total steps</t>
        </is>
      </c>
      <c r="C17" s="46">
        <f>COUNTA(B8:B13)</f>
        <v/>
      </c>
    </row>
    <row r="18" ht="15" customHeight="1" s="32">
      <c r="B18" s="45" t="inlineStr">
        <is>
          <t>Progress (steps done)</t>
        </is>
      </c>
      <c r="C18" s="47">
        <f>IF(C17=0,0,C15/C17)</f>
        <v/>
      </c>
    </row>
  </sheetData>
  <mergeCells count="3">
    <mergeCell ref="A4:H4"/>
    <mergeCell ref="A2:H2"/>
    <mergeCell ref="A1:H1"/>
  </mergeCells>
  <conditionalFormatting sqref="F8:F13">
    <cfRule type="cellIs" rank="0" priority="2" equalAverage="0" operator="equal" aboveAverage="0" dxfId="0" text="" percent="0" bottom="0">
      <formula>"Done"</formula>
    </cfRule>
    <cfRule type="cellIs" rank="0" priority="3" equalAverage="0" operator="equal" aboveAverage="0" dxfId="1" text="" percent="0" bottom="0">
      <formula>"In progress"</formula>
    </cfRule>
    <cfRule type="cellIs" rank="0" priority="4" equalAverage="0" operator="equal" aboveAverage="0" dxfId="2" text="" percent="0" bottom="0">
      <formula>"Not started"</formula>
    </cfRule>
  </conditionalFormatting>
  <dataValidations count="1">
    <dataValidation sqref="F8:F13" showDropDown="0" showInputMessage="0" showErrorMessage="0" allowBlank="1" type="list" errorStyle="stop" operator="between">
      <formula1>"Not started,In progress,Done"</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F23"/>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31" min="1" max="1"/>
    <col width="52" customWidth="1" style="31" min="2" max="2"/>
    <col width="12" customWidth="1" style="31" min="3" max="3"/>
    <col width="14" customWidth="1" style="31" min="4" max="4"/>
    <col width="70" customWidth="1" style="31" min="5" max="5"/>
    <col width="10" customWidth="1" style="31" min="6" max="6"/>
  </cols>
  <sheetData>
    <row r="1" ht="24" customHeight="1" s="32">
      <c r="A1" s="33" t="inlineStr">
        <is>
          <t>Where You Stand</t>
        </is>
      </c>
    </row>
    <row r="2" ht="15" customHeight="1" s="32">
      <c r="A2" s="34" t="inlineStr">
        <is>
          <t>Statuses reflect the proposal document as I read it. Update them as you make progress.</t>
        </is>
      </c>
    </row>
    <row r="4" ht="24" customHeight="1" s="32">
      <c r="A4" s="35" t="inlineStr">
        <is>
          <t>Yellow cells are yours to edit. Pick a Status from the dropdown; the summary table below counts them automatically.</t>
        </is>
      </c>
    </row>
    <row r="6" ht="24" customHeight="1" s="32">
      <c r="A6" s="38" t="inlineStr">
        <is>
          <t>#</t>
        </is>
      </c>
      <c r="B6" s="38" t="inlineStr">
        <is>
          <t>Item</t>
        </is>
      </c>
      <c r="C6" s="38" t="inlineStr">
        <is>
          <t>Category</t>
        </is>
      </c>
      <c r="D6" s="38" t="inlineStr">
        <is>
          <t>Status</t>
        </is>
      </c>
      <c r="E6" s="38" t="inlineStr">
        <is>
          <t>Notes / next action</t>
        </is>
      </c>
    </row>
    <row r="7" ht="33" customHeight="1" s="32">
      <c r="A7" s="39" t="n">
        <v>1</v>
      </c>
      <c r="B7" s="41" t="inlineStr">
        <is>
          <t>Chapters 1-3 (Introduction, Literature review, Methodology)</t>
        </is>
      </c>
      <c r="C7" s="39" t="inlineStr">
        <is>
          <t>Report</t>
        </is>
      </c>
      <c r="D7" s="42" t="inlineStr">
        <is>
          <t>Done</t>
        </is>
      </c>
      <c r="E7" s="44" t="inlineStr">
        <is>
          <t>Drafted, but contradictions still need fixing (web vs Android, binary vs multi-class, objectives).</t>
        </is>
      </c>
    </row>
    <row r="8" ht="30" customHeight="1" s="32">
      <c r="A8" s="39" t="n">
        <v>2</v>
      </c>
      <c r="B8" s="41" t="inlineStr">
        <is>
          <t>Chapter 4 (System analysis), sections 4.1-4.4</t>
        </is>
      </c>
      <c r="C8" s="39" t="inlineStr">
        <is>
          <t>Report</t>
        </is>
      </c>
      <c r="D8" s="42" t="inlineStr">
        <is>
          <t>Done</t>
        </is>
      </c>
      <c r="E8" s="44" t="inlineStr">
        <is>
          <t>Written; the chapter summary promised in 4.1 is still missing.</t>
        </is>
      </c>
    </row>
    <row r="9" ht="33" customHeight="1" s="32">
      <c r="A9" s="39" t="n">
        <v>3</v>
      </c>
      <c r="B9" s="41" t="inlineStr">
        <is>
          <t>Chapter 5 (System design), sections 5.1-5.2</t>
        </is>
      </c>
      <c r="C9" s="39" t="inlineStr">
        <is>
          <t>Report</t>
        </is>
      </c>
      <c r="D9" s="42" t="inlineStr">
        <is>
          <t>Done</t>
        </is>
      </c>
      <c r="E9" s="44" t="inlineStr">
        <is>
          <t>Written so far; the remaining sections are in the row 'Rest of Chapter 5'.</t>
        </is>
      </c>
    </row>
    <row r="10" ht="30" customHeight="1" s="32">
      <c r="A10" s="39" t="n">
        <v>4</v>
      </c>
      <c r="B10" s="41" t="inlineStr">
        <is>
          <t>Training script (rice_cnn.py)</t>
        </is>
      </c>
      <c r="C10" s="39" t="inlineStr">
        <is>
          <t>System</t>
        </is>
      </c>
      <c r="D10" s="42" t="inlineStr">
        <is>
          <t>Done</t>
        </is>
      </c>
      <c r="E10" s="44" t="inlineStr">
        <is>
          <t>Training script creates reproducible grouped train/validation/test splits and separate external Kaggle evaluation; six-class reports and confusion matrices saved.</t>
        </is>
      </c>
    </row>
    <row r="11" ht="33" customHeight="1" s="32">
      <c r="A11" s="39" t="n">
        <v>5</v>
      </c>
      <c r="B11" s="41" t="inlineStr">
        <is>
          <t>Dataset</t>
        </is>
      </c>
      <c r="C11" s="39" t="inlineStr">
        <is>
          <t>System</t>
        </is>
      </c>
      <c r="D11" s="42" t="inlineStr">
        <is>
          <t>In progress</t>
        </is>
      </c>
      <c r="E11" s="44" t="inlineStr">
        <is>
          <t>Six supported classes organized with provenance; Kaggle validation retained separately. Mwea field images and expert confirmations have not been collected.</t>
        </is>
      </c>
    </row>
    <row r="12" ht="33" customHeight="1" s="32">
      <c r="A12" s="39" t="n">
        <v>6</v>
      </c>
      <c r="B12" s="41" t="inlineStr">
        <is>
          <t>Trained model and results</t>
        </is>
      </c>
      <c r="C12" s="39" t="inlineStr">
        <is>
          <t>System</t>
        </is>
      </c>
      <c r="D12" s="42" t="inlineStr">
        <is>
          <t>Done</t>
        </is>
      </c>
      <c r="E12" s="44" t="inlineStr">
        <is>
          <t>Six-class model saved and served. Internal test: 85.73% accuracy (799); separate Kaggle validation: 72.39% (518). Per-class recall is uneven; this is not evidence of Mwea generalization.</t>
        </is>
      </c>
    </row>
    <row r="13" ht="30" customHeight="1" s="32">
      <c r="A13" s="39" t="n">
        <v>7</v>
      </c>
      <c r="B13" s="41" t="inlineStr">
        <is>
          <t>The website</t>
        </is>
      </c>
      <c r="C13" s="39" t="inlineStr">
        <is>
          <t>System</t>
        </is>
      </c>
      <c r="D13" s="42" t="inlineStr">
        <is>
          <t>Done</t>
        </is>
      </c>
      <c r="E13" s="44" t="inlineStr">
        <is>
          <t>Modular Flask app serves six classes; upload/prediction API, diagnosis pages, history, and automated tests are in place.</t>
        </is>
      </c>
    </row>
    <row r="14" ht="33" customHeight="1" s="32">
      <c r="A14" s="39" t="n">
        <v>8</v>
      </c>
      <c r="B14" s="41" t="inlineStr">
        <is>
          <t>Diagrams (Figures 3.1-3.5)</t>
        </is>
      </c>
      <c r="C14" s="39" t="inlineStr">
        <is>
          <t>Report</t>
        </is>
      </c>
      <c r="D14" s="42" t="inlineStr">
        <is>
          <t>Not started</t>
        </is>
      </c>
      <c r="E14" s="44" t="inlineStr">
        <is>
          <t>The captions exist in the proposal, but the figures themselves are not included.</t>
        </is>
      </c>
    </row>
    <row r="15" ht="33" customHeight="1" s="32">
      <c r="A15" s="39" t="n">
        <v>9</v>
      </c>
      <c r="B15" s="41" t="inlineStr">
        <is>
          <t>Section 4.5 (current-system flowchart, context diagram, DFD)</t>
        </is>
      </c>
      <c r="C15" s="39" t="inlineStr">
        <is>
          <t>Report</t>
        </is>
      </c>
      <c r="D15" s="42" t="inlineStr">
        <is>
          <t>Not started</t>
        </is>
      </c>
      <c r="E15" s="44" t="n"/>
    </row>
    <row r="16" ht="46.5" customHeight="1" s="32">
      <c r="A16" s="39" t="n">
        <v>10</v>
      </c>
      <c r="B16" s="41" t="inlineStr">
        <is>
          <t>Rest of Chapter 5 (requirement analysis, conceptual architecture, process logic, database design, input/output screens, summary)</t>
        </is>
      </c>
      <c r="C16" s="39" t="inlineStr">
        <is>
          <t>Report</t>
        </is>
      </c>
      <c r="D16" s="42" t="inlineStr">
        <is>
          <t>Not started</t>
        </is>
      </c>
      <c r="E16" s="44" t="n"/>
    </row>
    <row r="17" ht="33" customHeight="1" s="32">
      <c r="A17" s="39" t="n">
        <v>11</v>
      </c>
      <c r="B17" s="41" t="inlineStr">
        <is>
          <t>Results chapter and conclusion</t>
        </is>
      </c>
      <c r="C17" s="39" t="inlineStr">
        <is>
          <t>Report</t>
        </is>
      </c>
      <c r="D17" s="42" t="inlineStr">
        <is>
          <t>Not started</t>
        </is>
      </c>
      <c r="E17" s="44" t="inlineStr">
        <is>
          <t>Ask your supervisor which chapters your university expects after Chapter 5.</t>
        </is>
      </c>
    </row>
    <row r="19" ht="15" customHeight="1" s="32">
      <c r="B19" s="48" t="inlineStr">
        <is>
          <t>Summary</t>
        </is>
      </c>
    </row>
    <row r="20" ht="15" customHeight="1" s="32">
      <c r="B20" s="49" t="inlineStr">
        <is>
          <t>Category</t>
        </is>
      </c>
      <c r="C20" s="50" t="inlineStr">
        <is>
          <t>Done</t>
        </is>
      </c>
      <c r="D20" s="50" t="inlineStr">
        <is>
          <t>In progress</t>
        </is>
      </c>
      <c r="E20" s="50" t="inlineStr">
        <is>
          <t>Not started</t>
        </is>
      </c>
      <c r="F20" s="50" t="inlineStr">
        <is>
          <t>Total</t>
        </is>
      </c>
    </row>
    <row r="21" ht="15" customHeight="1" s="32">
      <c r="B21" s="51" t="inlineStr">
        <is>
          <t>Report</t>
        </is>
      </c>
      <c r="C21" s="52">
        <f>COUNTIFS($C$7:$C$17,"Report",$D$7:$D$17,"Done")</f>
        <v/>
      </c>
      <c r="D21" s="52">
        <f>COUNTIFS($C$7:$C$17,"Report",$D$7:$D$17,"In progress")</f>
        <v/>
      </c>
      <c r="E21" s="52">
        <f>COUNTIFS($C$7:$C$17,"Report",$D$7:$D$17,"Not started")</f>
        <v/>
      </c>
      <c r="F21" s="52">
        <f>SUM(C21:E21)</f>
        <v/>
      </c>
    </row>
    <row r="22" ht="15" customHeight="1" s="32">
      <c r="B22" s="51" t="inlineStr">
        <is>
          <t>System</t>
        </is>
      </c>
      <c r="C22" s="52">
        <f>COUNTIFS($C$7:$C$17,"System",$D$7:$D$17,"Done")</f>
        <v/>
      </c>
      <c r="D22" s="52">
        <f>COUNTIFS($C$7:$C$17,"System",$D$7:$D$17,"In progress")</f>
        <v/>
      </c>
      <c r="E22" s="52">
        <f>COUNTIFS($C$7:$C$17,"System",$D$7:$D$17,"Not started")</f>
        <v/>
      </c>
      <c r="F22" s="52">
        <f>SUM(C22:E22)</f>
        <v/>
      </c>
    </row>
    <row r="23" ht="15" customHeight="1" s="32">
      <c r="B23" s="53" t="inlineStr">
        <is>
          <t>All items</t>
        </is>
      </c>
      <c r="C23" s="54">
        <f>COUNTIF($D$7:$D$17,"Done")</f>
        <v/>
      </c>
      <c r="D23" s="54">
        <f>COUNTIF($D$7:$D$17,"In progress")</f>
        <v/>
      </c>
      <c r="E23" s="54">
        <f>COUNTIF($D$7:$D$17,"Not started")</f>
        <v/>
      </c>
      <c r="F23" s="54">
        <f>SUM(C23:E23)</f>
        <v/>
      </c>
    </row>
  </sheetData>
  <mergeCells count="3">
    <mergeCell ref="A2:E2"/>
    <mergeCell ref="A1:E1"/>
    <mergeCell ref="A4:E4"/>
  </mergeCells>
  <conditionalFormatting sqref="D7:D17">
    <cfRule type="cellIs" rank="0" priority="2" equalAverage="0" operator="equal" aboveAverage="0" dxfId="0" text="" percent="0" bottom="0">
      <formula>"Done"</formula>
    </cfRule>
    <cfRule type="cellIs" rank="0" priority="3" equalAverage="0" operator="equal" aboveAverage="0" dxfId="1" text="" percent="0" bottom="0">
      <formula>"In progress"</formula>
    </cfRule>
    <cfRule type="cellIs" rank="0" priority="4" equalAverage="0" operator="equal" aboveAverage="0" dxfId="2" text="" percent="0" bottom="0">
      <formula>"Not started"</formula>
    </cfRule>
  </conditionalFormatting>
  <dataValidations count="1">
    <dataValidation sqref="D7:D17" showDropDown="0" showInputMessage="0" showErrorMessage="0" allowBlank="1" type="list" errorStyle="stop" operator="between">
      <formula1>"Not started,In progress,Done"</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G10"/>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31" min="1" max="1"/>
    <col width="30" customWidth="1" style="31" min="2" max="2"/>
    <col width="34" customWidth="1" style="31" min="3" max="3"/>
    <col width="30" customWidth="1" style="31" min="4" max="4"/>
    <col width="50" customWidth="1" style="31" min="5" max="5"/>
    <col width="36" customWidth="1" style="31" min="6" max="6"/>
    <col width="16" customWidth="1" style="31" min="7" max="7"/>
  </cols>
  <sheetData>
    <row r="1" ht="24" customHeight="1" s="32">
      <c r="A1" s="33" t="inlineStr">
        <is>
          <t>Decisions to Settle First</t>
        </is>
      </c>
    </row>
    <row r="2" ht="15" customHeight="1" s="32">
      <c r="A2" s="34" t="inlineStr">
        <is>
          <t>Settle these with your supervisor before building anything.</t>
        </is>
      </c>
    </row>
    <row r="4" ht="30" customHeight="1" s="32">
      <c r="A4" s="35" t="inlineStr">
        <is>
          <t>Yellow cells are yours to edit: write your final decision and mark whether your supervisor has agreed. The Recommendation column is my suggestion, not a requirement.</t>
        </is>
      </c>
    </row>
    <row r="6" ht="24" customHeight="1" s="32">
      <c r="A6" s="38" t="inlineStr">
        <is>
          <t>#</t>
        </is>
      </c>
      <c r="B6" s="38" t="inlineStr">
        <is>
          <t>Decision</t>
        </is>
      </c>
      <c r="C6" s="38" t="inlineStr">
        <is>
          <t>Options</t>
        </is>
      </c>
      <c r="D6" s="38" t="inlineStr">
        <is>
          <t>Recommendation</t>
        </is>
      </c>
      <c r="E6" s="38" t="inlineStr">
        <is>
          <t>Why</t>
        </is>
      </c>
      <c r="F6" s="38" t="inlineStr">
        <is>
          <t>Your decision</t>
        </is>
      </c>
      <c r="G6" s="38" t="inlineStr">
        <is>
          <t>Agreed with supervisor?</t>
        </is>
      </c>
    </row>
    <row r="7" ht="60" customHeight="1" s="32">
      <c r="A7" s="39" t="n">
        <v>1</v>
      </c>
      <c r="B7" s="40" t="inlineStr">
        <is>
          <t>Website or Android app?</t>
        </is>
      </c>
      <c r="C7" s="41" t="inlineStr">
        <is>
          <t>Website (Flask + HTML/CSS/JS) or native Android app (Kotlin)</t>
        </is>
      </c>
      <c r="D7" s="41" t="inlineStr">
        <is>
          <t>Website</t>
        </is>
      </c>
      <c r="E7" s="41" t="inlineStr">
        <is>
          <t>Most chapters and the code already assume a website. The proposal contradicts itself: the abstract and Chapters 4-5 say website, but section 3.6 says Android.</t>
        </is>
      </c>
      <c r="F7" s="44" t="inlineStr">
        <is>
          <t>Website (Flask + HTML/CSS/JS)</t>
        </is>
      </c>
      <c r="G7" s="42" t="inlineStr">
        <is>
          <t>Pending</t>
        </is>
      </c>
    </row>
    <row r="8" ht="60" customHeight="1" s="32">
      <c r="A8" s="39" t="n">
        <v>2</v>
      </c>
      <c r="B8" s="40" t="inlineStr">
        <is>
          <t>Which diseases to cover?</t>
        </is>
      </c>
      <c r="C8" s="41" t="inlineStr">
        <is>
          <t>4-6 diseases plus healthy</t>
        </is>
      </c>
      <c r="D8" s="41" t="inlineStr">
        <is>
          <t>4-6 diseases confirmed with KALRO or Mwea extension officers</t>
        </is>
      </c>
      <c r="E8" s="41" t="inlineStr">
        <is>
          <t>Keeps the dataset and model manageable, and makes it a genuine Mwea case study.</t>
        </is>
      </c>
      <c r="F8" s="44" t="inlineStr">
        <is>
          <t>Healthy, blast, brown spot, bacterial leaf blight, leaf scald, and narrow brown spot. RYMV remains future work until labelled RYMV data is provided.</t>
        </is>
      </c>
      <c r="G8" s="42" t="inlineStr">
        <is>
          <t>Pending</t>
        </is>
      </c>
    </row>
    <row r="9" ht="33" customHeight="1" s="32">
      <c r="A9" s="39" t="n">
        <v>3</v>
      </c>
      <c r="B9" s="40" t="inlineStr">
        <is>
          <t>Keep the offline claim?</t>
        </is>
      </c>
      <c r="C9" s="41" t="inlineStr">
        <is>
          <t>Keep it, drop it, or move it to future work</t>
        </is>
      </c>
      <c r="D9" s="41" t="inlineStr">
        <is>
          <t>Drop it, or mention it as future work</t>
        </is>
      </c>
      <c r="E9" s="41" t="inlineStr">
        <is>
          <t>A website needs internet, and section 5.2.3 already admits this, so the claim contradicts the design.</t>
        </is>
      </c>
      <c r="F9" s="44" t="inlineStr">
        <is>
          <t>Dropped; listed as future work</t>
        </is>
      </c>
      <c r="G9" s="42" t="inlineStr">
        <is>
          <t>Pending</t>
        </is>
      </c>
    </row>
    <row r="10" ht="46.5" customHeight="1" s="32">
      <c r="A10" s="39" t="n">
        <v>4</v>
      </c>
      <c r="B10" s="40" t="inlineStr">
        <is>
          <t>Drones, IoT sensors, voice control, explainable AI, farmer-knowledge integration</t>
        </is>
      </c>
      <c r="C10" s="41" t="inlineStr">
        <is>
          <t>Keep, cut, or move to future work</t>
        </is>
      </c>
      <c r="D10" s="41" t="inlineStr">
        <is>
          <t>Cut them or move them to 'future work'</t>
        </is>
      </c>
      <c r="E10" s="41" t="inlineStr">
        <is>
          <t>None of it is realistic for one student or needed for the core system, and you can be marked down for promising things you did not build.</t>
        </is>
      </c>
      <c r="F10" s="44" t="inlineStr">
        <is>
          <t>Moved to future work</t>
        </is>
      </c>
      <c r="G10" s="42" t="inlineStr">
        <is>
          <t>Pending</t>
        </is>
      </c>
    </row>
  </sheetData>
  <mergeCells count="3">
    <mergeCell ref="A2:G2"/>
    <mergeCell ref="A1:G1"/>
    <mergeCell ref="A4:G4"/>
  </mergeCells>
  <dataValidations count="1">
    <dataValidation sqref="G7:G10" showDropDown="0" showInputMessage="0" showErrorMessage="0" allowBlank="1" type="list" errorStyle="stop" operator="between">
      <formula1>"Yes,No,Pending"</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C1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 customWidth="1" style="31" min="1" max="1"/>
    <col width="26" customWidth="1" style="31" min="2" max="2"/>
    <col width="80" customWidth="1" style="31" min="3" max="3"/>
  </cols>
  <sheetData>
    <row r="1" ht="24" customHeight="1" s="32">
      <c r="A1" s="33" t="inlineStr">
        <is>
          <t>What the System Does</t>
        </is>
      </c>
    </row>
    <row r="2" ht="15" customHeight="1" s="32">
      <c r="A2" s="34" t="inlineStr">
        <is>
          <t>The core of the project, in plain language.</t>
        </is>
      </c>
    </row>
    <row r="4" ht="24" customHeight="1" s="32">
      <c r="A4" s="38" t="inlineStr">
        <is>
          <t>#</t>
        </is>
      </c>
      <c r="B4" s="38" t="inlineStr">
        <is>
          <t>Step</t>
        </is>
      </c>
      <c r="C4" s="38" t="inlineStr">
        <is>
          <t>What happens</t>
        </is>
      </c>
    </row>
    <row r="5" ht="30" customHeight="1" s="32">
      <c r="A5" s="39" t="n">
        <v>1</v>
      </c>
      <c r="B5" s="40" t="inlineStr">
        <is>
          <t>Upload</t>
        </is>
      </c>
      <c r="C5" s="41" t="inlineStr">
        <is>
          <t>The farmer photographs a rice leaf and uploads it through the website.</t>
        </is>
      </c>
    </row>
    <row r="6" ht="30" customHeight="1" s="32">
      <c r="A6" s="39" t="n">
        <v>2</v>
      </c>
      <c r="B6" s="40" t="inlineStr">
        <is>
          <t>Resize</t>
        </is>
      </c>
      <c r="C6" s="41" t="inlineStr">
        <is>
          <t>The photo is resized so the CNN can read it.</t>
        </is>
      </c>
    </row>
    <row r="7" ht="30" customHeight="1" s="32">
      <c r="A7" s="39" t="n">
        <v>3</v>
      </c>
      <c r="B7" s="40" t="inlineStr">
        <is>
          <t>Classify</t>
        </is>
      </c>
      <c r="C7" s="41" t="inlineStr">
        <is>
          <t>The CNN looks at the photo and returns a disease name with a confidence percentage.</t>
        </is>
      </c>
    </row>
    <row r="8" ht="30" customHeight="1" s="32">
      <c r="A8" s="39" t="n">
        <v>4</v>
      </c>
      <c r="B8" s="40" t="inlineStr">
        <is>
          <t>Save</t>
        </is>
      </c>
      <c r="C8" s="41" t="inlineStr">
        <is>
          <t>The result is saved to a history log.</t>
        </is>
      </c>
    </row>
    <row r="11" ht="15" customHeight="1" s="32">
      <c r="A11" s="48" t="inlineStr">
        <is>
          <t>How the CNN learns</t>
        </is>
      </c>
    </row>
    <row r="12" ht="27.75" customHeight="1" s="32">
      <c r="A12" s="55" t="inlineStr">
        <is>
          <t>Think of it like teaching a child with flashcards: you show thousands of labelled photos ('this is blast, this is healthy') and it learns what each looks like.</t>
        </is>
      </c>
    </row>
    <row r="14" ht="24" customHeight="1" s="32">
      <c r="A14" s="38" t="inlineStr">
        <is>
          <t>#</t>
        </is>
      </c>
      <c r="B14" s="38" t="inlineStr">
        <is>
          <t>Stage</t>
        </is>
      </c>
      <c r="C14" s="38" t="inlineStr">
        <is>
          <t>What happens</t>
        </is>
      </c>
    </row>
    <row r="15" ht="30" customHeight="1" s="32">
      <c r="A15" s="39" t="n">
        <v>1</v>
      </c>
      <c r="B15" s="40" t="inlineStr">
        <is>
          <t>Train</t>
        </is>
      </c>
      <c r="C15" s="41" t="inlineStr">
        <is>
          <t>Show the model thousands of labelled photos, one folder per disease.</t>
        </is>
      </c>
    </row>
    <row r="16" ht="30" customHeight="1" s="32">
      <c r="A16" s="39" t="n">
        <v>2</v>
      </c>
      <c r="B16" s="40" t="inlineStr">
        <is>
          <t>Hold back</t>
        </is>
      </c>
      <c r="C16" s="41" t="inlineStr">
        <is>
          <t>Keep some photos the model never sees during learning.</t>
        </is>
      </c>
    </row>
    <row r="17" ht="30" customHeight="1" s="32">
      <c r="A17" s="39" t="n">
        <v>3</v>
      </c>
      <c r="B17" s="40" t="inlineStr">
        <is>
          <t>Score</t>
        </is>
      </c>
      <c r="C17" s="41" t="inlineStr">
        <is>
          <t>Its score on those unseen photos is your accuracy figure.</t>
        </is>
      </c>
    </row>
  </sheetData>
  <mergeCells count="3">
    <mergeCell ref="A1:C1"/>
    <mergeCell ref="A2:C2"/>
    <mergeCell ref="A12:C12"/>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O208"/>
  <sheetViews>
    <sheetView showFormulas="0" showGridLines="0" showRowColHeaders="1" showZeros="1" rightToLeft="0" tabSelected="0"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31" min="1" max="1"/>
    <col width="22" customWidth="1" style="31" min="2" max="2"/>
    <col width="26" customWidth="1" style="31" min="3" max="3"/>
    <col width="13" customWidth="1" style="31" min="4" max="4"/>
    <col width="20" customWidth="1" style="31" min="5" max="5"/>
    <col width="16" customWidth="1" style="31" min="6" max="7"/>
    <col width="12" customWidth="1" style="31" min="8" max="8"/>
    <col width="18" customWidth="1" style="31" min="9" max="9"/>
    <col width="28" customWidth="1" style="31" min="10" max="10"/>
    <col width="3" customWidth="1" style="31" min="11" max="11"/>
    <col width="26" customWidth="1" style="31" min="12" max="12"/>
    <col width="12" customWidth="1" style="31" min="13" max="15"/>
  </cols>
  <sheetData>
    <row r="1" ht="24" customHeight="1" s="32">
      <c r="A1" s="33" t="inlineStr">
        <is>
          <t>Mwea Photo Log</t>
        </is>
      </c>
    </row>
    <row r="2" ht="15" customHeight="1" s="32">
      <c r="A2" s="34" t="inlineStr">
        <is>
          <t>One row per photo. Class names match the folder names used by rice_cnn.py.</t>
        </is>
      </c>
    </row>
    <row r="4" ht="42" customHeight="1" s="32">
      <c r="A4" s="35" t="inlineStr">
        <is>
          <t>How to use: yellow cells are yours to edit. Log each photo as you take it. Pick the Class from the dropdown, and give every photo of the same plant the same Plant ID so they can be kept in one train/test split. Confirmed by = the extension officer or expert who verified the diagnosis. The summary on the right updates automatically.</t>
        </is>
      </c>
    </row>
    <row r="6" ht="15" customHeight="1" s="32">
      <c r="L6" s="48" t="inlineStr">
        <is>
          <t>Collection progress</t>
        </is>
      </c>
    </row>
    <row r="7" ht="24" customHeight="1" s="32">
      <c r="A7" s="38" t="inlineStr">
        <is>
          <t>#</t>
        </is>
      </c>
      <c r="B7" s="38" t="inlineStr">
        <is>
          <t>File name</t>
        </is>
      </c>
      <c r="C7" s="38" t="inlineStr">
        <is>
          <t>Class</t>
        </is>
      </c>
      <c r="D7" s="38" t="inlineStr">
        <is>
          <t>Date taken</t>
        </is>
      </c>
      <c r="E7" s="38" t="inlineStr">
        <is>
          <t>Mwea section / block</t>
        </is>
      </c>
      <c r="F7" s="38" t="inlineStr">
        <is>
          <t>Rice variety</t>
        </is>
      </c>
      <c r="G7" s="38" t="inlineStr">
        <is>
          <t>Growth stage</t>
        </is>
      </c>
      <c r="H7" s="38" t="inlineStr">
        <is>
          <t>Plant ID</t>
        </is>
      </c>
      <c r="I7" s="38" t="inlineStr">
        <is>
          <t>Confirmed by</t>
        </is>
      </c>
      <c r="J7" s="38" t="inlineStr">
        <is>
          <t>Notes</t>
        </is>
      </c>
      <c r="L7" s="49" t="inlineStr">
        <is>
          <t>Class</t>
        </is>
      </c>
      <c r="M7" s="50" t="inlineStr">
        <is>
          <t>Collected</t>
        </is>
      </c>
      <c r="N7" s="50" t="inlineStr">
        <is>
          <t>Target</t>
        </is>
      </c>
      <c r="O7" s="50" t="inlineStr">
        <is>
          <t>% of target</t>
        </is>
      </c>
    </row>
    <row r="8" ht="27.75" customHeight="1" s="32">
      <c r="A8" s="36" t="inlineStr">
        <is>
          <t>Ex.</t>
        </is>
      </c>
      <c r="B8" s="36" t="inlineStr">
        <is>
          <t>mwea_0001.jpg</t>
        </is>
      </c>
      <c r="C8" s="36" t="inlineStr">
        <is>
          <t>blast</t>
        </is>
      </c>
      <c r="D8" s="37" t="n">
        <v>46307</v>
      </c>
      <c r="E8" s="36" t="inlineStr">
        <is>
          <t>Section 2, Block 14</t>
        </is>
      </c>
      <c r="F8" s="36" t="inlineStr">
        <is>
          <t>Basmati 370</t>
        </is>
      </c>
      <c r="G8" s="36" t="inlineStr">
        <is>
          <t>Tillering</t>
        </is>
      </c>
      <c r="H8" s="36" t="inlineStr">
        <is>
          <t>P001</t>
        </is>
      </c>
      <c r="I8" s="36" t="inlineStr">
        <is>
          <t>J. Mwangi (extension officer)</t>
        </is>
      </c>
      <c r="J8" s="36" t="inlineStr">
        <is>
          <t>Example row - ignore</t>
        </is>
      </c>
      <c r="L8" s="51" t="inlineStr">
        <is>
          <t>healthy</t>
        </is>
      </c>
      <c r="M8" s="52">
        <f>COUNTIF($C$9:$C$208,L8)</f>
        <v/>
      </c>
      <c r="N8" s="56" t="n">
        <v>300</v>
      </c>
      <c r="O8" s="57">
        <f>IF(N8=0,0,M8/N8)</f>
        <v/>
      </c>
    </row>
    <row r="9" ht="15" customHeight="1" s="32">
      <c r="A9" s="58" t="n">
        <v>1</v>
      </c>
      <c r="B9" s="59" t="n"/>
      <c r="C9" s="59" t="n"/>
      <c r="D9" s="60" t="n"/>
      <c r="E9" s="59" t="n"/>
      <c r="F9" s="59" t="n"/>
      <c r="G9" s="59" t="n"/>
      <c r="H9" s="59" t="n"/>
      <c r="I9" s="59" t="n"/>
      <c r="J9" s="59" t="n"/>
      <c r="L9" s="51" t="inlineStr">
        <is>
          <t>blast</t>
        </is>
      </c>
      <c r="M9" s="52">
        <f>COUNTIF($C$9:$C$208,L9)</f>
        <v/>
      </c>
      <c r="N9" s="56" t="n">
        <v>300</v>
      </c>
      <c r="O9" s="57">
        <f>IF(N9=0,0,M9/N9)</f>
        <v/>
      </c>
    </row>
    <row r="10" ht="15" customHeight="1" s="32">
      <c r="A10" s="58" t="n">
        <v>2</v>
      </c>
      <c r="B10" s="59" t="n"/>
      <c r="C10" s="59" t="n"/>
      <c r="D10" s="60" t="n"/>
      <c r="E10" s="59" t="n"/>
      <c r="F10" s="59" t="n"/>
      <c r="G10" s="59" t="n"/>
      <c r="H10" s="59" t="n"/>
      <c r="I10" s="59" t="n"/>
      <c r="J10" s="59" t="n"/>
      <c r="L10" s="51" t="inlineStr">
        <is>
          <t>brown_spot</t>
        </is>
      </c>
      <c r="M10" s="52">
        <f>COUNTIF($C$9:$C$208,L10)</f>
        <v/>
      </c>
      <c r="N10" s="56" t="n">
        <v>300</v>
      </c>
      <c r="O10" s="57">
        <f>IF(N10=0,0,M10/N10)</f>
        <v/>
      </c>
    </row>
    <row r="11" ht="15" customHeight="1" s="32">
      <c r="A11" s="58" t="n">
        <v>3</v>
      </c>
      <c r="B11" s="59" t="n"/>
      <c r="C11" s="59" t="n"/>
      <c r="D11" s="60" t="n"/>
      <c r="E11" s="59" t="n"/>
      <c r="F11" s="59" t="n"/>
      <c r="G11" s="59" t="n"/>
      <c r="H11" s="59" t="n"/>
      <c r="I11" s="59" t="n"/>
      <c r="J11" s="59" t="n"/>
      <c r="L11" s="51" t="inlineStr">
        <is>
          <t>bacterial_leaf_blight</t>
        </is>
      </c>
      <c r="M11" s="52">
        <f>COUNTIF($C$9:$C$208,L11)</f>
        <v/>
      </c>
      <c r="N11" s="56" t="n">
        <v>300</v>
      </c>
      <c r="O11" s="57">
        <f>IF(N11=0,0,M11/N11)</f>
        <v/>
      </c>
    </row>
    <row r="12" ht="15" customHeight="1" s="32">
      <c r="A12" s="58" t="n">
        <v>4</v>
      </c>
      <c r="B12" s="59" t="n"/>
      <c r="C12" s="59" t="n"/>
      <c r="D12" s="60" t="n"/>
      <c r="E12" s="59" t="n"/>
      <c r="F12" s="59" t="n"/>
      <c r="G12" s="59" t="n"/>
      <c r="H12" s="59" t="n"/>
      <c r="I12" s="59" t="n"/>
      <c r="J12" s="59" t="n"/>
      <c r="L12" s="51" t="inlineStr">
        <is>
          <t>leaf_scald</t>
        </is>
      </c>
      <c r="M12" s="52">
        <f>COUNTIF($C$9:$C$208,L12)</f>
        <v/>
      </c>
      <c r="N12" s="56" t="n">
        <v>300</v>
      </c>
      <c r="O12" s="57">
        <f>IF(N12=0,0,M12/N12)</f>
        <v/>
      </c>
    </row>
    <row r="13" ht="15" customHeight="1" s="32">
      <c r="A13" s="58" t="n">
        <v>5</v>
      </c>
      <c r="B13" s="59" t="n"/>
      <c r="C13" s="59" t="n"/>
      <c r="D13" s="60" t="n"/>
      <c r="E13" s="59" t="n"/>
      <c r="F13" s="59" t="n"/>
      <c r="G13" s="59" t="n"/>
      <c r="H13" s="59" t="n"/>
      <c r="I13" s="59" t="n"/>
      <c r="J13" s="59" t="n"/>
      <c r="L13" s="51" t="inlineStr">
        <is>
          <t>narrow_brown_spot</t>
        </is>
      </c>
      <c r="M13" s="52">
        <f>COUNTIF($C$9:$C$208,L13)</f>
        <v/>
      </c>
      <c r="N13" s="56" t="n">
        <v>300</v>
      </c>
      <c r="O13" s="57">
        <f>IF(N13=0,0,M13/N13)</f>
        <v/>
      </c>
    </row>
    <row r="14" ht="15" customHeight="1" s="32">
      <c r="A14" s="58" t="n">
        <v>6</v>
      </c>
      <c r="B14" s="59" t="n"/>
      <c r="C14" s="59" t="n"/>
      <c r="D14" s="60" t="n"/>
      <c r="E14" s="59" t="n"/>
      <c r="F14" s="59" t="n"/>
      <c r="G14" s="59" t="n"/>
      <c r="H14" s="59" t="n"/>
      <c r="I14" s="59" t="n"/>
      <c r="J14" s="59" t="n"/>
      <c r="L14" s="51" t="inlineStr">
        <is>
          <t>Total</t>
        </is>
      </c>
      <c r="M14" s="52">
        <f>SUM(M8:M13)</f>
        <v/>
      </c>
      <c r="N14" s="56">
        <f>SUM(N8:N13)</f>
        <v/>
      </c>
      <c r="O14" s="57">
        <f>IF(N14=0,0,M14/N14)</f>
        <v/>
      </c>
    </row>
    <row r="15" ht="15" customHeight="1" s="32">
      <c r="A15" s="58" t="n">
        <v>7</v>
      </c>
      <c r="B15" s="59" t="n"/>
      <c r="C15" s="59" t="n"/>
      <c r="D15" s="60" t="n"/>
      <c r="E15" s="59" t="n"/>
      <c r="F15" s="59" t="n"/>
      <c r="G15" s="59" t="n"/>
      <c r="H15" s="59" t="n"/>
      <c r="I15" s="59" t="n"/>
      <c r="J15" s="59" t="n"/>
      <c r="L15" s="62" t="inlineStr">
        <is>
          <t>Assumption: a target of 300 photos per class is a rule of thumb, not a requirement. Agree the real target with your supervisor (blue cells).</t>
        </is>
      </c>
    </row>
    <row r="16" ht="15" customHeight="1" s="32">
      <c r="A16" s="58" t="n">
        <v>8</v>
      </c>
      <c r="B16" s="59" t="n"/>
      <c r="C16" s="59" t="n"/>
      <c r="D16" s="60" t="n"/>
      <c r="E16" s="59" t="n"/>
      <c r="F16" s="59" t="n"/>
      <c r="G16" s="59" t="n"/>
      <c r="H16" s="59" t="n"/>
      <c r="I16" s="59" t="n"/>
      <c r="J16" s="59" t="n"/>
    </row>
    <row r="17" ht="15" customHeight="1" s="32">
      <c r="A17" s="58" t="n">
        <v>9</v>
      </c>
      <c r="B17" s="59" t="n"/>
      <c r="C17" s="59" t="n"/>
      <c r="D17" s="60" t="n"/>
      <c r="E17" s="59" t="n"/>
      <c r="F17" s="59" t="n"/>
      <c r="G17" s="59" t="n"/>
      <c r="H17" s="59" t="n"/>
      <c r="I17" s="59" t="n"/>
      <c r="J17" s="59" t="n"/>
    </row>
    <row r="18" ht="15" customHeight="1" s="32">
      <c r="A18" s="58" t="n">
        <v>10</v>
      </c>
      <c r="B18" s="59" t="n"/>
      <c r="C18" s="59" t="n"/>
      <c r="D18" s="60" t="n"/>
      <c r="E18" s="59" t="n"/>
      <c r="F18" s="59" t="n"/>
      <c r="G18" s="59" t="n"/>
      <c r="H18" s="59" t="n"/>
      <c r="I18" s="59" t="n"/>
      <c r="J18" s="59" t="n"/>
    </row>
    <row r="19" ht="15" customHeight="1" s="32">
      <c r="A19" s="58" t="n">
        <v>11</v>
      </c>
      <c r="B19" s="59" t="n"/>
      <c r="C19" s="59" t="n"/>
      <c r="D19" s="60" t="n"/>
      <c r="E19" s="59" t="n"/>
      <c r="F19" s="59" t="n"/>
      <c r="G19" s="59" t="n"/>
      <c r="H19" s="59" t="n"/>
      <c r="I19" s="59" t="n"/>
      <c r="J19" s="59" t="n"/>
    </row>
    <row r="20" ht="15" customHeight="1" s="32">
      <c r="A20" s="58" t="n">
        <v>12</v>
      </c>
      <c r="B20" s="59" t="n"/>
      <c r="C20" s="59" t="n"/>
      <c r="D20" s="60" t="n"/>
      <c r="E20" s="59" t="n"/>
      <c r="F20" s="59" t="n"/>
      <c r="G20" s="59" t="n"/>
      <c r="H20" s="59" t="n"/>
      <c r="I20" s="59" t="n"/>
      <c r="J20" s="59" t="n"/>
    </row>
    <row r="21" ht="15" customHeight="1" s="32">
      <c r="A21" s="58" t="n">
        <v>13</v>
      </c>
      <c r="B21" s="59" t="n"/>
      <c r="C21" s="59" t="n"/>
      <c r="D21" s="60" t="n"/>
      <c r="E21" s="59" t="n"/>
      <c r="F21" s="59" t="n"/>
      <c r="G21" s="59" t="n"/>
      <c r="H21" s="59" t="n"/>
      <c r="I21" s="59" t="n"/>
      <c r="J21" s="59" t="n"/>
    </row>
    <row r="22" ht="15" customHeight="1" s="32">
      <c r="A22" s="58" t="n">
        <v>14</v>
      </c>
      <c r="B22" s="59" t="n"/>
      <c r="C22" s="59" t="n"/>
      <c r="D22" s="60" t="n"/>
      <c r="E22" s="59" t="n"/>
      <c r="F22" s="59" t="n"/>
      <c r="G22" s="59" t="n"/>
      <c r="H22" s="59" t="n"/>
      <c r="I22" s="59" t="n"/>
      <c r="J22" s="59" t="n"/>
    </row>
    <row r="23" ht="15" customHeight="1" s="32">
      <c r="A23" s="58" t="n">
        <v>15</v>
      </c>
      <c r="B23" s="59" t="n"/>
      <c r="C23" s="59" t="n"/>
      <c r="D23" s="60" t="n"/>
      <c r="E23" s="59" t="n"/>
      <c r="F23" s="59" t="n"/>
      <c r="G23" s="59" t="n"/>
      <c r="H23" s="59" t="n"/>
      <c r="I23" s="59" t="n"/>
      <c r="J23" s="59" t="n"/>
    </row>
    <row r="24" ht="15" customHeight="1" s="32">
      <c r="A24" s="58" t="n">
        <v>16</v>
      </c>
      <c r="B24" s="59" t="n"/>
      <c r="C24" s="59" t="n"/>
      <c r="D24" s="60" t="n"/>
      <c r="E24" s="59" t="n"/>
      <c r="F24" s="59" t="n"/>
      <c r="G24" s="59" t="n"/>
      <c r="H24" s="59" t="n"/>
      <c r="I24" s="59" t="n"/>
      <c r="J24" s="59" t="n"/>
    </row>
    <row r="25" ht="15" customHeight="1" s="32">
      <c r="A25" s="58" t="n">
        <v>17</v>
      </c>
      <c r="B25" s="59" t="n"/>
      <c r="C25" s="59" t="n"/>
      <c r="D25" s="60" t="n"/>
      <c r="E25" s="59" t="n"/>
      <c r="F25" s="59" t="n"/>
      <c r="G25" s="59" t="n"/>
      <c r="H25" s="59" t="n"/>
      <c r="I25" s="59" t="n"/>
      <c r="J25" s="59" t="n"/>
    </row>
    <row r="26" ht="15" customHeight="1" s="32">
      <c r="A26" s="58" t="n">
        <v>18</v>
      </c>
      <c r="B26" s="59" t="n"/>
      <c r="C26" s="59" t="n"/>
      <c r="D26" s="60" t="n"/>
      <c r="E26" s="59" t="n"/>
      <c r="F26" s="59" t="n"/>
      <c r="G26" s="59" t="n"/>
      <c r="H26" s="59" t="n"/>
      <c r="I26" s="59" t="n"/>
      <c r="J26" s="59" t="n"/>
    </row>
    <row r="27" ht="15" customHeight="1" s="32">
      <c r="A27" s="58" t="n">
        <v>19</v>
      </c>
      <c r="B27" s="59" t="n"/>
      <c r="C27" s="59" t="n"/>
      <c r="D27" s="60" t="n"/>
      <c r="E27" s="59" t="n"/>
      <c r="F27" s="59" t="n"/>
      <c r="G27" s="59" t="n"/>
      <c r="H27" s="59" t="n"/>
      <c r="I27" s="59" t="n"/>
      <c r="J27" s="59" t="n"/>
    </row>
    <row r="28" ht="15" customHeight="1" s="32">
      <c r="A28" s="58" t="n">
        <v>20</v>
      </c>
      <c r="B28" s="59" t="n"/>
      <c r="C28" s="59" t="n"/>
      <c r="D28" s="60" t="n"/>
      <c r="E28" s="59" t="n"/>
      <c r="F28" s="59" t="n"/>
      <c r="G28" s="59" t="n"/>
      <c r="H28" s="59" t="n"/>
      <c r="I28" s="59" t="n"/>
      <c r="J28" s="59" t="n"/>
    </row>
    <row r="29" ht="15" customHeight="1" s="32">
      <c r="A29" s="58" t="n">
        <v>21</v>
      </c>
      <c r="B29" s="59" t="n"/>
      <c r="C29" s="59" t="n"/>
      <c r="D29" s="60" t="n"/>
      <c r="E29" s="59" t="n"/>
      <c r="F29" s="59" t="n"/>
      <c r="G29" s="59" t="n"/>
      <c r="H29" s="59" t="n"/>
      <c r="I29" s="59" t="n"/>
      <c r="J29" s="59" t="n"/>
    </row>
    <row r="30" ht="15" customHeight="1" s="32">
      <c r="A30" s="58" t="n">
        <v>22</v>
      </c>
      <c r="B30" s="59" t="n"/>
      <c r="C30" s="59" t="n"/>
      <c r="D30" s="60" t="n"/>
      <c r="E30" s="59" t="n"/>
      <c r="F30" s="59" t="n"/>
      <c r="G30" s="59" t="n"/>
      <c r="H30" s="59" t="n"/>
      <c r="I30" s="59" t="n"/>
      <c r="J30" s="59" t="n"/>
    </row>
    <row r="31" ht="15" customHeight="1" s="32">
      <c r="A31" s="58" t="n">
        <v>23</v>
      </c>
      <c r="B31" s="59" t="n"/>
      <c r="C31" s="59" t="n"/>
      <c r="D31" s="60" t="n"/>
      <c r="E31" s="59" t="n"/>
      <c r="F31" s="59" t="n"/>
      <c r="G31" s="59" t="n"/>
      <c r="H31" s="59" t="n"/>
      <c r="I31" s="59" t="n"/>
      <c r="J31" s="59" t="n"/>
    </row>
    <row r="32" ht="15" customHeight="1" s="32">
      <c r="A32" s="58" t="n">
        <v>24</v>
      </c>
      <c r="B32" s="59" t="n"/>
      <c r="C32" s="59" t="n"/>
      <c r="D32" s="60" t="n"/>
      <c r="E32" s="59" t="n"/>
      <c r="F32" s="59" t="n"/>
      <c r="G32" s="59" t="n"/>
      <c r="H32" s="59" t="n"/>
      <c r="I32" s="59" t="n"/>
      <c r="J32" s="59" t="n"/>
    </row>
    <row r="33" ht="15" customHeight="1" s="32">
      <c r="A33" s="58" t="n">
        <v>25</v>
      </c>
      <c r="B33" s="59" t="n"/>
      <c r="C33" s="59" t="n"/>
      <c r="D33" s="60" t="n"/>
      <c r="E33" s="59" t="n"/>
      <c r="F33" s="59" t="n"/>
      <c r="G33" s="59" t="n"/>
      <c r="H33" s="59" t="n"/>
      <c r="I33" s="59" t="n"/>
      <c r="J33" s="59" t="n"/>
    </row>
    <row r="34" ht="15" customHeight="1" s="32">
      <c r="A34" s="58" t="n">
        <v>26</v>
      </c>
      <c r="B34" s="59" t="n"/>
      <c r="C34" s="59" t="n"/>
      <c r="D34" s="60" t="n"/>
      <c r="E34" s="59" t="n"/>
      <c r="F34" s="59" t="n"/>
      <c r="G34" s="59" t="n"/>
      <c r="H34" s="59" t="n"/>
      <c r="I34" s="59" t="n"/>
      <c r="J34" s="59" t="n"/>
    </row>
    <row r="35" ht="15" customHeight="1" s="32">
      <c r="A35" s="58" t="n">
        <v>27</v>
      </c>
      <c r="B35" s="59" t="n"/>
      <c r="C35" s="59" t="n"/>
      <c r="D35" s="60" t="n"/>
      <c r="E35" s="59" t="n"/>
      <c r="F35" s="59" t="n"/>
      <c r="G35" s="59" t="n"/>
      <c r="H35" s="59" t="n"/>
      <c r="I35" s="59" t="n"/>
      <c r="J35" s="59" t="n"/>
    </row>
    <row r="36" ht="15" customHeight="1" s="32">
      <c r="A36" s="58" t="n">
        <v>28</v>
      </c>
      <c r="B36" s="59" t="n"/>
      <c r="C36" s="59" t="n"/>
      <c r="D36" s="60" t="n"/>
      <c r="E36" s="59" t="n"/>
      <c r="F36" s="59" t="n"/>
      <c r="G36" s="59" t="n"/>
      <c r="H36" s="59" t="n"/>
      <c r="I36" s="59" t="n"/>
      <c r="J36" s="59" t="n"/>
    </row>
    <row r="37" ht="15" customHeight="1" s="32">
      <c r="A37" s="58" t="n">
        <v>29</v>
      </c>
      <c r="B37" s="59" t="n"/>
      <c r="C37" s="59" t="n"/>
      <c r="D37" s="60" t="n"/>
      <c r="E37" s="59" t="n"/>
      <c r="F37" s="59" t="n"/>
      <c r="G37" s="59" t="n"/>
      <c r="H37" s="59" t="n"/>
      <c r="I37" s="59" t="n"/>
      <c r="J37" s="59" t="n"/>
    </row>
    <row r="38" ht="15" customHeight="1" s="32">
      <c r="A38" s="58" t="n">
        <v>30</v>
      </c>
      <c r="B38" s="59" t="n"/>
      <c r="C38" s="59" t="n"/>
      <c r="D38" s="60" t="n"/>
      <c r="E38" s="59" t="n"/>
      <c r="F38" s="59" t="n"/>
      <c r="G38" s="59" t="n"/>
      <c r="H38" s="59" t="n"/>
      <c r="I38" s="59" t="n"/>
      <c r="J38" s="59" t="n"/>
    </row>
    <row r="39" ht="15" customHeight="1" s="32">
      <c r="A39" s="58" t="n">
        <v>31</v>
      </c>
      <c r="B39" s="59" t="n"/>
      <c r="C39" s="59" t="n"/>
      <c r="D39" s="60" t="n"/>
      <c r="E39" s="59" t="n"/>
      <c r="F39" s="59" t="n"/>
      <c r="G39" s="59" t="n"/>
      <c r="H39" s="59" t="n"/>
      <c r="I39" s="59" t="n"/>
      <c r="J39" s="59" t="n"/>
    </row>
    <row r="40" ht="15" customHeight="1" s="32">
      <c r="A40" s="58" t="n">
        <v>32</v>
      </c>
      <c r="B40" s="59" t="n"/>
      <c r="C40" s="59" t="n"/>
      <c r="D40" s="60" t="n"/>
      <c r="E40" s="59" t="n"/>
      <c r="F40" s="59" t="n"/>
      <c r="G40" s="59" t="n"/>
      <c r="H40" s="59" t="n"/>
      <c r="I40" s="59" t="n"/>
      <c r="J40" s="59" t="n"/>
    </row>
    <row r="41" ht="15" customHeight="1" s="32">
      <c r="A41" s="58" t="n">
        <v>33</v>
      </c>
      <c r="B41" s="59" t="n"/>
      <c r="C41" s="59" t="n"/>
      <c r="D41" s="60" t="n"/>
      <c r="E41" s="59" t="n"/>
      <c r="F41" s="59" t="n"/>
      <c r="G41" s="59" t="n"/>
      <c r="H41" s="59" t="n"/>
      <c r="I41" s="59" t="n"/>
      <c r="J41" s="59" t="n"/>
    </row>
    <row r="42" ht="15" customHeight="1" s="32">
      <c r="A42" s="58" t="n">
        <v>34</v>
      </c>
      <c r="B42" s="59" t="n"/>
      <c r="C42" s="59" t="n"/>
      <c r="D42" s="60" t="n"/>
      <c r="E42" s="59" t="n"/>
      <c r="F42" s="59" t="n"/>
      <c r="G42" s="59" t="n"/>
      <c r="H42" s="59" t="n"/>
      <c r="I42" s="59" t="n"/>
      <c r="J42" s="59" t="n"/>
    </row>
    <row r="43" ht="15" customHeight="1" s="32">
      <c r="A43" s="58" t="n">
        <v>35</v>
      </c>
      <c r="B43" s="59" t="n"/>
      <c r="C43" s="59" t="n"/>
      <c r="D43" s="60" t="n"/>
      <c r="E43" s="59" t="n"/>
      <c r="F43" s="59" t="n"/>
      <c r="G43" s="59" t="n"/>
      <c r="H43" s="59" t="n"/>
      <c r="I43" s="59" t="n"/>
      <c r="J43" s="59" t="n"/>
    </row>
    <row r="44" ht="15" customHeight="1" s="32">
      <c r="A44" s="58" t="n">
        <v>36</v>
      </c>
      <c r="B44" s="59" t="n"/>
      <c r="C44" s="59" t="n"/>
      <c r="D44" s="60" t="n"/>
      <c r="E44" s="59" t="n"/>
      <c r="F44" s="59" t="n"/>
      <c r="G44" s="59" t="n"/>
      <c r="H44" s="59" t="n"/>
      <c r="I44" s="59" t="n"/>
      <c r="J44" s="59" t="n"/>
    </row>
    <row r="45" ht="15" customHeight="1" s="32">
      <c r="A45" s="58" t="n">
        <v>37</v>
      </c>
      <c r="B45" s="59" t="n"/>
      <c r="C45" s="59" t="n"/>
      <c r="D45" s="60" t="n"/>
      <c r="E45" s="59" t="n"/>
      <c r="F45" s="59" t="n"/>
      <c r="G45" s="59" t="n"/>
      <c r="H45" s="59" t="n"/>
      <c r="I45" s="59" t="n"/>
      <c r="J45" s="59" t="n"/>
    </row>
    <row r="46" ht="15" customHeight="1" s="32">
      <c r="A46" s="58" t="n">
        <v>38</v>
      </c>
      <c r="B46" s="59" t="n"/>
      <c r="C46" s="59" t="n"/>
      <c r="D46" s="60" t="n"/>
      <c r="E46" s="59" t="n"/>
      <c r="F46" s="59" t="n"/>
      <c r="G46" s="59" t="n"/>
      <c r="H46" s="59" t="n"/>
      <c r="I46" s="59" t="n"/>
      <c r="J46" s="59" t="n"/>
    </row>
    <row r="47" ht="15" customHeight="1" s="32">
      <c r="A47" s="58" t="n">
        <v>39</v>
      </c>
      <c r="B47" s="59" t="n"/>
      <c r="C47" s="59" t="n"/>
      <c r="D47" s="60" t="n"/>
      <c r="E47" s="59" t="n"/>
      <c r="F47" s="59" t="n"/>
      <c r="G47" s="59" t="n"/>
      <c r="H47" s="59" t="n"/>
      <c r="I47" s="59" t="n"/>
      <c r="J47" s="59" t="n"/>
    </row>
    <row r="48" ht="15" customHeight="1" s="32">
      <c r="A48" s="58" t="n">
        <v>40</v>
      </c>
      <c r="B48" s="59" t="n"/>
      <c r="C48" s="59" t="n"/>
      <c r="D48" s="60" t="n"/>
      <c r="E48" s="59" t="n"/>
      <c r="F48" s="59" t="n"/>
      <c r="G48" s="59" t="n"/>
      <c r="H48" s="59" t="n"/>
      <c r="I48" s="59" t="n"/>
      <c r="J48" s="59" t="n"/>
    </row>
    <row r="49" ht="15" customHeight="1" s="32">
      <c r="A49" s="58" t="n">
        <v>41</v>
      </c>
      <c r="B49" s="59" t="n"/>
      <c r="C49" s="59" t="n"/>
      <c r="D49" s="60" t="n"/>
      <c r="E49" s="59" t="n"/>
      <c r="F49" s="59" t="n"/>
      <c r="G49" s="59" t="n"/>
      <c r="H49" s="59" t="n"/>
      <c r="I49" s="59" t="n"/>
      <c r="J49" s="59" t="n"/>
    </row>
    <row r="50" ht="15" customHeight="1" s="32">
      <c r="A50" s="58" t="n">
        <v>42</v>
      </c>
      <c r="B50" s="59" t="n"/>
      <c r="C50" s="59" t="n"/>
      <c r="D50" s="60" t="n"/>
      <c r="E50" s="59" t="n"/>
      <c r="F50" s="59" t="n"/>
      <c r="G50" s="59" t="n"/>
      <c r="H50" s="59" t="n"/>
      <c r="I50" s="59" t="n"/>
      <c r="J50" s="59" t="n"/>
    </row>
    <row r="51" ht="15" customHeight="1" s="32">
      <c r="A51" s="58" t="n">
        <v>43</v>
      </c>
      <c r="B51" s="59" t="n"/>
      <c r="C51" s="59" t="n"/>
      <c r="D51" s="60" t="n"/>
      <c r="E51" s="59" t="n"/>
      <c r="F51" s="59" t="n"/>
      <c r="G51" s="59" t="n"/>
      <c r="H51" s="59" t="n"/>
      <c r="I51" s="59" t="n"/>
      <c r="J51" s="59" t="n"/>
    </row>
    <row r="52" ht="15" customHeight="1" s="32">
      <c r="A52" s="58" t="n">
        <v>44</v>
      </c>
      <c r="B52" s="59" t="n"/>
      <c r="C52" s="59" t="n"/>
      <c r="D52" s="60" t="n"/>
      <c r="E52" s="59" t="n"/>
      <c r="F52" s="59" t="n"/>
      <c r="G52" s="59" t="n"/>
      <c r="H52" s="59" t="n"/>
      <c r="I52" s="59" t="n"/>
      <c r="J52" s="59" t="n"/>
    </row>
    <row r="53" ht="15" customHeight="1" s="32">
      <c r="A53" s="58" t="n">
        <v>45</v>
      </c>
      <c r="B53" s="59" t="n"/>
      <c r="C53" s="59" t="n"/>
      <c r="D53" s="60" t="n"/>
      <c r="E53" s="59" t="n"/>
      <c r="F53" s="59" t="n"/>
      <c r="G53" s="59" t="n"/>
      <c r="H53" s="59" t="n"/>
      <c r="I53" s="59" t="n"/>
      <c r="J53" s="59" t="n"/>
    </row>
    <row r="54" ht="15" customHeight="1" s="32">
      <c r="A54" s="58" t="n">
        <v>46</v>
      </c>
      <c r="B54" s="59" t="n"/>
      <c r="C54" s="59" t="n"/>
      <c r="D54" s="60" t="n"/>
      <c r="E54" s="59" t="n"/>
      <c r="F54" s="59" t="n"/>
      <c r="G54" s="59" t="n"/>
      <c r="H54" s="59" t="n"/>
      <c r="I54" s="59" t="n"/>
      <c r="J54" s="59" t="n"/>
    </row>
    <row r="55" ht="15" customHeight="1" s="32">
      <c r="A55" s="58" t="n">
        <v>47</v>
      </c>
      <c r="B55" s="59" t="n"/>
      <c r="C55" s="59" t="n"/>
      <c r="D55" s="60" t="n"/>
      <c r="E55" s="59" t="n"/>
      <c r="F55" s="59" t="n"/>
      <c r="G55" s="59" t="n"/>
      <c r="H55" s="59" t="n"/>
      <c r="I55" s="59" t="n"/>
      <c r="J55" s="59" t="n"/>
    </row>
    <row r="56" ht="15" customHeight="1" s="32">
      <c r="A56" s="58" t="n">
        <v>48</v>
      </c>
      <c r="B56" s="59" t="n"/>
      <c r="C56" s="59" t="n"/>
      <c r="D56" s="60" t="n"/>
      <c r="E56" s="59" t="n"/>
      <c r="F56" s="59" t="n"/>
      <c r="G56" s="59" t="n"/>
      <c r="H56" s="59" t="n"/>
      <c r="I56" s="59" t="n"/>
      <c r="J56" s="59" t="n"/>
    </row>
    <row r="57" ht="15" customHeight="1" s="32">
      <c r="A57" s="58" t="n">
        <v>49</v>
      </c>
      <c r="B57" s="59" t="n"/>
      <c r="C57" s="59" t="n"/>
      <c r="D57" s="60" t="n"/>
      <c r="E57" s="59" t="n"/>
      <c r="F57" s="59" t="n"/>
      <c r="G57" s="59" t="n"/>
      <c r="H57" s="59" t="n"/>
      <c r="I57" s="59" t="n"/>
      <c r="J57" s="59" t="n"/>
    </row>
    <row r="58" ht="15" customHeight="1" s="32">
      <c r="A58" s="58" t="n">
        <v>50</v>
      </c>
      <c r="B58" s="59" t="n"/>
      <c r="C58" s="59" t="n"/>
      <c r="D58" s="60" t="n"/>
      <c r="E58" s="59" t="n"/>
      <c r="F58" s="59" t="n"/>
      <c r="G58" s="59" t="n"/>
      <c r="H58" s="59" t="n"/>
      <c r="I58" s="59" t="n"/>
      <c r="J58" s="59" t="n"/>
    </row>
    <row r="59" ht="15" customHeight="1" s="32">
      <c r="A59" s="58" t="n">
        <v>51</v>
      </c>
      <c r="B59" s="59" t="n"/>
      <c r="C59" s="59" t="n"/>
      <c r="D59" s="60" t="n"/>
      <c r="E59" s="59" t="n"/>
      <c r="F59" s="59" t="n"/>
      <c r="G59" s="59" t="n"/>
      <c r="H59" s="59" t="n"/>
      <c r="I59" s="59" t="n"/>
      <c r="J59" s="59" t="n"/>
    </row>
    <row r="60" ht="15" customHeight="1" s="32">
      <c r="A60" s="58" t="n">
        <v>52</v>
      </c>
      <c r="B60" s="59" t="n"/>
      <c r="C60" s="59" t="n"/>
      <c r="D60" s="60" t="n"/>
      <c r="E60" s="59" t="n"/>
      <c r="F60" s="59" t="n"/>
      <c r="G60" s="59" t="n"/>
      <c r="H60" s="59" t="n"/>
      <c r="I60" s="59" t="n"/>
      <c r="J60" s="59" t="n"/>
    </row>
    <row r="61" ht="15" customHeight="1" s="32">
      <c r="A61" s="58" t="n">
        <v>53</v>
      </c>
      <c r="B61" s="59" t="n"/>
      <c r="C61" s="59" t="n"/>
      <c r="D61" s="60" t="n"/>
      <c r="E61" s="59" t="n"/>
      <c r="F61" s="59" t="n"/>
      <c r="G61" s="59" t="n"/>
      <c r="H61" s="59" t="n"/>
      <c r="I61" s="59" t="n"/>
      <c r="J61" s="59" t="n"/>
    </row>
    <row r="62" ht="15" customHeight="1" s="32">
      <c r="A62" s="58" t="n">
        <v>54</v>
      </c>
      <c r="B62" s="59" t="n"/>
      <c r="C62" s="59" t="n"/>
      <c r="D62" s="60" t="n"/>
      <c r="E62" s="59" t="n"/>
      <c r="F62" s="59" t="n"/>
      <c r="G62" s="59" t="n"/>
      <c r="H62" s="59" t="n"/>
      <c r="I62" s="59" t="n"/>
      <c r="J62" s="59" t="n"/>
    </row>
    <row r="63" ht="15" customHeight="1" s="32">
      <c r="A63" s="58" t="n">
        <v>55</v>
      </c>
      <c r="B63" s="59" t="n"/>
      <c r="C63" s="59" t="n"/>
      <c r="D63" s="60" t="n"/>
      <c r="E63" s="59" t="n"/>
      <c r="F63" s="59" t="n"/>
      <c r="G63" s="59" t="n"/>
      <c r="H63" s="59" t="n"/>
      <c r="I63" s="59" t="n"/>
      <c r="J63" s="59" t="n"/>
    </row>
    <row r="64" ht="15" customHeight="1" s="32">
      <c r="A64" s="58" t="n">
        <v>56</v>
      </c>
      <c r="B64" s="59" t="n"/>
      <c r="C64" s="59" t="n"/>
      <c r="D64" s="60" t="n"/>
      <c r="E64" s="59" t="n"/>
      <c r="F64" s="59" t="n"/>
      <c r="G64" s="59" t="n"/>
      <c r="H64" s="59" t="n"/>
      <c r="I64" s="59" t="n"/>
      <c r="J64" s="59" t="n"/>
    </row>
    <row r="65" ht="15" customHeight="1" s="32">
      <c r="A65" s="58" t="n">
        <v>57</v>
      </c>
      <c r="B65" s="59" t="n"/>
      <c r="C65" s="59" t="n"/>
      <c r="D65" s="60" t="n"/>
      <c r="E65" s="59" t="n"/>
      <c r="F65" s="59" t="n"/>
      <c r="G65" s="59" t="n"/>
      <c r="H65" s="59" t="n"/>
      <c r="I65" s="59" t="n"/>
      <c r="J65" s="59" t="n"/>
    </row>
    <row r="66" ht="15" customHeight="1" s="32">
      <c r="A66" s="58" t="n">
        <v>58</v>
      </c>
      <c r="B66" s="59" t="n"/>
      <c r="C66" s="59" t="n"/>
      <c r="D66" s="60" t="n"/>
      <c r="E66" s="59" t="n"/>
      <c r="F66" s="59" t="n"/>
      <c r="G66" s="59" t="n"/>
      <c r="H66" s="59" t="n"/>
      <c r="I66" s="59" t="n"/>
      <c r="J66" s="59" t="n"/>
    </row>
    <row r="67" ht="15" customHeight="1" s="32">
      <c r="A67" s="58" t="n">
        <v>59</v>
      </c>
      <c r="B67" s="59" t="n"/>
      <c r="C67" s="59" t="n"/>
      <c r="D67" s="60" t="n"/>
      <c r="E67" s="59" t="n"/>
      <c r="F67" s="59" t="n"/>
      <c r="G67" s="59" t="n"/>
      <c r="H67" s="59" t="n"/>
      <c r="I67" s="59" t="n"/>
      <c r="J67" s="59" t="n"/>
    </row>
    <row r="68" ht="15" customHeight="1" s="32">
      <c r="A68" s="58" t="n">
        <v>60</v>
      </c>
      <c r="B68" s="59" t="n"/>
      <c r="C68" s="59" t="n"/>
      <c r="D68" s="60" t="n"/>
      <c r="E68" s="59" t="n"/>
      <c r="F68" s="59" t="n"/>
      <c r="G68" s="59" t="n"/>
      <c r="H68" s="59" t="n"/>
      <c r="I68" s="59" t="n"/>
      <c r="J68" s="59" t="n"/>
    </row>
    <row r="69" ht="15" customHeight="1" s="32">
      <c r="A69" s="58" t="n">
        <v>61</v>
      </c>
      <c r="B69" s="59" t="n"/>
      <c r="C69" s="59" t="n"/>
      <c r="D69" s="60" t="n"/>
      <c r="E69" s="59" t="n"/>
      <c r="F69" s="59" t="n"/>
      <c r="G69" s="59" t="n"/>
      <c r="H69" s="59" t="n"/>
      <c r="I69" s="59" t="n"/>
      <c r="J69" s="59" t="n"/>
    </row>
    <row r="70" ht="15" customHeight="1" s="32">
      <c r="A70" s="58" t="n">
        <v>62</v>
      </c>
      <c r="B70" s="59" t="n"/>
      <c r="C70" s="59" t="n"/>
      <c r="D70" s="60" t="n"/>
      <c r="E70" s="59" t="n"/>
      <c r="F70" s="59" t="n"/>
      <c r="G70" s="59" t="n"/>
      <c r="H70" s="59" t="n"/>
      <c r="I70" s="59" t="n"/>
      <c r="J70" s="59" t="n"/>
    </row>
    <row r="71" ht="15" customHeight="1" s="32">
      <c r="A71" s="58" t="n">
        <v>63</v>
      </c>
      <c r="B71" s="59" t="n"/>
      <c r="C71" s="59" t="n"/>
      <c r="D71" s="60" t="n"/>
      <c r="E71" s="59" t="n"/>
      <c r="F71" s="59" t="n"/>
      <c r="G71" s="59" t="n"/>
      <c r="H71" s="59" t="n"/>
      <c r="I71" s="59" t="n"/>
      <c r="J71" s="59" t="n"/>
    </row>
    <row r="72" ht="15" customHeight="1" s="32">
      <c r="A72" s="58" t="n">
        <v>64</v>
      </c>
      <c r="B72" s="59" t="n"/>
      <c r="C72" s="59" t="n"/>
      <c r="D72" s="60" t="n"/>
      <c r="E72" s="59" t="n"/>
      <c r="F72" s="59" t="n"/>
      <c r="G72" s="59" t="n"/>
      <c r="H72" s="59" t="n"/>
      <c r="I72" s="59" t="n"/>
      <c r="J72" s="59" t="n"/>
    </row>
    <row r="73" ht="15" customHeight="1" s="32">
      <c r="A73" s="58" t="n">
        <v>65</v>
      </c>
      <c r="B73" s="59" t="n"/>
      <c r="C73" s="59" t="n"/>
      <c r="D73" s="60" t="n"/>
      <c r="E73" s="59" t="n"/>
      <c r="F73" s="59" t="n"/>
      <c r="G73" s="59" t="n"/>
      <c r="H73" s="59" t="n"/>
      <c r="I73" s="59" t="n"/>
      <c r="J73" s="59" t="n"/>
    </row>
    <row r="74" ht="15" customHeight="1" s="32">
      <c r="A74" s="58" t="n">
        <v>66</v>
      </c>
      <c r="B74" s="59" t="n"/>
      <c r="C74" s="59" t="n"/>
      <c r="D74" s="60" t="n"/>
      <c r="E74" s="59" t="n"/>
      <c r="F74" s="59" t="n"/>
      <c r="G74" s="59" t="n"/>
      <c r="H74" s="59" t="n"/>
      <c r="I74" s="59" t="n"/>
      <c r="J74" s="59" t="n"/>
    </row>
    <row r="75" ht="15" customHeight="1" s="32">
      <c r="A75" s="58" t="n">
        <v>67</v>
      </c>
      <c r="B75" s="59" t="n"/>
      <c r="C75" s="59" t="n"/>
      <c r="D75" s="60" t="n"/>
      <c r="E75" s="59" t="n"/>
      <c r="F75" s="59" t="n"/>
      <c r="G75" s="59" t="n"/>
      <c r="H75" s="59" t="n"/>
      <c r="I75" s="59" t="n"/>
      <c r="J75" s="59" t="n"/>
    </row>
    <row r="76" ht="15" customHeight="1" s="32">
      <c r="A76" s="58" t="n">
        <v>68</v>
      </c>
      <c r="B76" s="59" t="n"/>
      <c r="C76" s="59" t="n"/>
      <c r="D76" s="60" t="n"/>
      <c r="E76" s="59" t="n"/>
      <c r="F76" s="59" t="n"/>
      <c r="G76" s="59" t="n"/>
      <c r="H76" s="59" t="n"/>
      <c r="I76" s="59" t="n"/>
      <c r="J76" s="59" t="n"/>
    </row>
    <row r="77" ht="15" customHeight="1" s="32">
      <c r="A77" s="58" t="n">
        <v>69</v>
      </c>
      <c r="B77" s="59" t="n"/>
      <c r="C77" s="59" t="n"/>
      <c r="D77" s="60" t="n"/>
      <c r="E77" s="59" t="n"/>
      <c r="F77" s="59" t="n"/>
      <c r="G77" s="59" t="n"/>
      <c r="H77" s="59" t="n"/>
      <c r="I77" s="59" t="n"/>
      <c r="J77" s="59" t="n"/>
    </row>
    <row r="78" ht="15" customHeight="1" s="32">
      <c r="A78" s="58" t="n">
        <v>70</v>
      </c>
      <c r="B78" s="59" t="n"/>
      <c r="C78" s="59" t="n"/>
      <c r="D78" s="60" t="n"/>
      <c r="E78" s="59" t="n"/>
      <c r="F78" s="59" t="n"/>
      <c r="G78" s="59" t="n"/>
      <c r="H78" s="59" t="n"/>
      <c r="I78" s="59" t="n"/>
      <c r="J78" s="59" t="n"/>
    </row>
    <row r="79" ht="15" customHeight="1" s="32">
      <c r="A79" s="58" t="n">
        <v>71</v>
      </c>
      <c r="B79" s="59" t="n"/>
      <c r="C79" s="59" t="n"/>
      <c r="D79" s="60" t="n"/>
      <c r="E79" s="59" t="n"/>
      <c r="F79" s="59" t="n"/>
      <c r="G79" s="59" t="n"/>
      <c r="H79" s="59" t="n"/>
      <c r="I79" s="59" t="n"/>
      <c r="J79" s="59" t="n"/>
    </row>
    <row r="80" ht="15" customHeight="1" s="32">
      <c r="A80" s="58" t="n">
        <v>72</v>
      </c>
      <c r="B80" s="59" t="n"/>
      <c r="C80" s="59" t="n"/>
      <c r="D80" s="60" t="n"/>
      <c r="E80" s="59" t="n"/>
      <c r="F80" s="59" t="n"/>
      <c r="G80" s="59" t="n"/>
      <c r="H80" s="59" t="n"/>
      <c r="I80" s="59" t="n"/>
      <c r="J80" s="59" t="n"/>
    </row>
    <row r="81" ht="15" customHeight="1" s="32">
      <c r="A81" s="58" t="n">
        <v>73</v>
      </c>
      <c r="B81" s="59" t="n"/>
      <c r="C81" s="59" t="n"/>
      <c r="D81" s="60" t="n"/>
      <c r="E81" s="59" t="n"/>
      <c r="F81" s="59" t="n"/>
      <c r="G81" s="59" t="n"/>
      <c r="H81" s="59" t="n"/>
      <c r="I81" s="59" t="n"/>
      <c r="J81" s="59" t="n"/>
    </row>
    <row r="82" ht="15" customHeight="1" s="32">
      <c r="A82" s="58" t="n">
        <v>74</v>
      </c>
      <c r="B82" s="59" t="n"/>
      <c r="C82" s="59" t="n"/>
      <c r="D82" s="60" t="n"/>
      <c r="E82" s="59" t="n"/>
      <c r="F82" s="59" t="n"/>
      <c r="G82" s="59" t="n"/>
      <c r="H82" s="59" t="n"/>
      <c r="I82" s="59" t="n"/>
      <c r="J82" s="59" t="n"/>
    </row>
    <row r="83" ht="15" customHeight="1" s="32">
      <c r="A83" s="58" t="n">
        <v>75</v>
      </c>
      <c r="B83" s="59" t="n"/>
      <c r="C83" s="59" t="n"/>
      <c r="D83" s="60" t="n"/>
      <c r="E83" s="59" t="n"/>
      <c r="F83" s="59" t="n"/>
      <c r="G83" s="59" t="n"/>
      <c r="H83" s="59" t="n"/>
      <c r="I83" s="59" t="n"/>
      <c r="J83" s="59" t="n"/>
    </row>
    <row r="84" ht="15" customHeight="1" s="32">
      <c r="A84" s="58" t="n">
        <v>76</v>
      </c>
      <c r="B84" s="59" t="n"/>
      <c r="C84" s="59" t="n"/>
      <c r="D84" s="60" t="n"/>
      <c r="E84" s="59" t="n"/>
      <c r="F84" s="59" t="n"/>
      <c r="G84" s="59" t="n"/>
      <c r="H84" s="59" t="n"/>
      <c r="I84" s="59" t="n"/>
      <c r="J84" s="59" t="n"/>
    </row>
    <row r="85" ht="15" customHeight="1" s="32">
      <c r="A85" s="58" t="n">
        <v>77</v>
      </c>
      <c r="B85" s="59" t="n"/>
      <c r="C85" s="59" t="n"/>
      <c r="D85" s="60" t="n"/>
      <c r="E85" s="59" t="n"/>
      <c r="F85" s="59" t="n"/>
      <c r="G85" s="59" t="n"/>
      <c r="H85" s="59" t="n"/>
      <c r="I85" s="59" t="n"/>
      <c r="J85" s="59" t="n"/>
    </row>
    <row r="86" ht="15" customHeight="1" s="32">
      <c r="A86" s="58" t="n">
        <v>78</v>
      </c>
      <c r="B86" s="59" t="n"/>
      <c r="C86" s="59" t="n"/>
      <c r="D86" s="60" t="n"/>
      <c r="E86" s="59" t="n"/>
      <c r="F86" s="59" t="n"/>
      <c r="G86" s="59" t="n"/>
      <c r="H86" s="59" t="n"/>
      <c r="I86" s="59" t="n"/>
      <c r="J86" s="59" t="n"/>
    </row>
    <row r="87" ht="15" customHeight="1" s="32">
      <c r="A87" s="58" t="n">
        <v>79</v>
      </c>
      <c r="B87" s="59" t="n"/>
      <c r="C87" s="59" t="n"/>
      <c r="D87" s="60" t="n"/>
      <c r="E87" s="59" t="n"/>
      <c r="F87" s="59" t="n"/>
      <c r="G87" s="59" t="n"/>
      <c r="H87" s="59" t="n"/>
      <c r="I87" s="59" t="n"/>
      <c r="J87" s="59" t="n"/>
    </row>
    <row r="88" ht="15" customHeight="1" s="32">
      <c r="A88" s="58" t="n">
        <v>80</v>
      </c>
      <c r="B88" s="59" t="n"/>
      <c r="C88" s="59" t="n"/>
      <c r="D88" s="60" t="n"/>
      <c r="E88" s="59" t="n"/>
      <c r="F88" s="59" t="n"/>
      <c r="G88" s="59" t="n"/>
      <c r="H88" s="59" t="n"/>
      <c r="I88" s="59" t="n"/>
      <c r="J88" s="59" t="n"/>
    </row>
    <row r="89" ht="15" customHeight="1" s="32">
      <c r="A89" s="58" t="n">
        <v>81</v>
      </c>
      <c r="B89" s="59" t="n"/>
      <c r="C89" s="59" t="n"/>
      <c r="D89" s="60" t="n"/>
      <c r="E89" s="59" t="n"/>
      <c r="F89" s="59" t="n"/>
      <c r="G89" s="59" t="n"/>
      <c r="H89" s="59" t="n"/>
      <c r="I89" s="59" t="n"/>
      <c r="J89" s="59" t="n"/>
    </row>
    <row r="90" ht="15" customHeight="1" s="32">
      <c r="A90" s="58" t="n">
        <v>82</v>
      </c>
      <c r="B90" s="59" t="n"/>
      <c r="C90" s="59" t="n"/>
      <c r="D90" s="60" t="n"/>
      <c r="E90" s="59" t="n"/>
      <c r="F90" s="59" t="n"/>
      <c r="G90" s="59" t="n"/>
      <c r="H90" s="59" t="n"/>
      <c r="I90" s="59" t="n"/>
      <c r="J90" s="59" t="n"/>
    </row>
    <row r="91" ht="15" customHeight="1" s="32">
      <c r="A91" s="58" t="n">
        <v>83</v>
      </c>
      <c r="B91" s="59" t="n"/>
      <c r="C91" s="59" t="n"/>
      <c r="D91" s="60" t="n"/>
      <c r="E91" s="59" t="n"/>
      <c r="F91" s="59" t="n"/>
      <c r="G91" s="59" t="n"/>
      <c r="H91" s="59" t="n"/>
      <c r="I91" s="59" t="n"/>
      <c r="J91" s="59" t="n"/>
    </row>
    <row r="92" ht="15" customHeight="1" s="32">
      <c r="A92" s="58" t="n">
        <v>84</v>
      </c>
      <c r="B92" s="59" t="n"/>
      <c r="C92" s="59" t="n"/>
      <c r="D92" s="60" t="n"/>
      <c r="E92" s="59" t="n"/>
      <c r="F92" s="59" t="n"/>
      <c r="G92" s="59" t="n"/>
      <c r="H92" s="59" t="n"/>
      <c r="I92" s="59" t="n"/>
      <c r="J92" s="59" t="n"/>
    </row>
    <row r="93" ht="15" customHeight="1" s="32">
      <c r="A93" s="58" t="n">
        <v>85</v>
      </c>
      <c r="B93" s="59" t="n"/>
      <c r="C93" s="59" t="n"/>
      <c r="D93" s="60" t="n"/>
      <c r="E93" s="59" t="n"/>
      <c r="F93" s="59" t="n"/>
      <c r="G93" s="59" t="n"/>
      <c r="H93" s="59" t="n"/>
      <c r="I93" s="59" t="n"/>
      <c r="J93" s="59" t="n"/>
    </row>
    <row r="94" ht="15" customHeight="1" s="32">
      <c r="A94" s="58" t="n">
        <v>86</v>
      </c>
      <c r="B94" s="59" t="n"/>
      <c r="C94" s="59" t="n"/>
      <c r="D94" s="60" t="n"/>
      <c r="E94" s="59" t="n"/>
      <c r="F94" s="59" t="n"/>
      <c r="G94" s="59" t="n"/>
      <c r="H94" s="59" t="n"/>
      <c r="I94" s="59" t="n"/>
      <c r="J94" s="59" t="n"/>
    </row>
    <row r="95" ht="15" customHeight="1" s="32">
      <c r="A95" s="58" t="n">
        <v>87</v>
      </c>
      <c r="B95" s="59" t="n"/>
      <c r="C95" s="59" t="n"/>
      <c r="D95" s="60" t="n"/>
      <c r="E95" s="59" t="n"/>
      <c r="F95" s="59" t="n"/>
      <c r="G95" s="59" t="n"/>
      <c r="H95" s="59" t="n"/>
      <c r="I95" s="59" t="n"/>
      <c r="J95" s="59" t="n"/>
    </row>
    <row r="96" ht="15" customHeight="1" s="32">
      <c r="A96" s="58" t="n">
        <v>88</v>
      </c>
      <c r="B96" s="59" t="n"/>
      <c r="C96" s="59" t="n"/>
      <c r="D96" s="60" t="n"/>
      <c r="E96" s="59" t="n"/>
      <c r="F96" s="59" t="n"/>
      <c r="G96" s="59" t="n"/>
      <c r="H96" s="59" t="n"/>
      <c r="I96" s="59" t="n"/>
      <c r="J96" s="59" t="n"/>
    </row>
    <row r="97" ht="15" customHeight="1" s="32">
      <c r="A97" s="58" t="n">
        <v>89</v>
      </c>
      <c r="B97" s="59" t="n"/>
      <c r="C97" s="59" t="n"/>
      <c r="D97" s="60" t="n"/>
      <c r="E97" s="59" t="n"/>
      <c r="F97" s="59" t="n"/>
      <c r="G97" s="59" t="n"/>
      <c r="H97" s="59" t="n"/>
      <c r="I97" s="59" t="n"/>
      <c r="J97" s="59" t="n"/>
    </row>
    <row r="98" ht="15" customHeight="1" s="32">
      <c r="A98" s="58" t="n">
        <v>90</v>
      </c>
      <c r="B98" s="59" t="n"/>
      <c r="C98" s="59" t="n"/>
      <c r="D98" s="60" t="n"/>
      <c r="E98" s="59" t="n"/>
      <c r="F98" s="59" t="n"/>
      <c r="G98" s="59" t="n"/>
      <c r="H98" s="59" t="n"/>
      <c r="I98" s="59" t="n"/>
      <c r="J98" s="59" t="n"/>
    </row>
    <row r="99" ht="15" customHeight="1" s="32">
      <c r="A99" s="58" t="n">
        <v>91</v>
      </c>
      <c r="B99" s="59" t="n"/>
      <c r="C99" s="59" t="n"/>
      <c r="D99" s="60" t="n"/>
      <c r="E99" s="59" t="n"/>
      <c r="F99" s="59" t="n"/>
      <c r="G99" s="59" t="n"/>
      <c r="H99" s="59" t="n"/>
      <c r="I99" s="59" t="n"/>
      <c r="J99" s="59" t="n"/>
    </row>
    <row r="100" ht="15" customHeight="1" s="32">
      <c r="A100" s="58" t="n">
        <v>92</v>
      </c>
      <c r="B100" s="59" t="n"/>
      <c r="C100" s="59" t="n"/>
      <c r="D100" s="60" t="n"/>
      <c r="E100" s="59" t="n"/>
      <c r="F100" s="59" t="n"/>
      <c r="G100" s="59" t="n"/>
      <c r="H100" s="59" t="n"/>
      <c r="I100" s="59" t="n"/>
      <c r="J100" s="59" t="n"/>
    </row>
    <row r="101" ht="15" customHeight="1" s="32">
      <c r="A101" s="58" t="n">
        <v>93</v>
      </c>
      <c r="B101" s="59" t="n"/>
      <c r="C101" s="59" t="n"/>
      <c r="D101" s="60" t="n"/>
      <c r="E101" s="59" t="n"/>
      <c r="F101" s="59" t="n"/>
      <c r="G101" s="59" t="n"/>
      <c r="H101" s="59" t="n"/>
      <c r="I101" s="59" t="n"/>
      <c r="J101" s="59" t="n"/>
    </row>
    <row r="102" ht="15" customHeight="1" s="32">
      <c r="A102" s="58" t="n">
        <v>94</v>
      </c>
      <c r="B102" s="59" t="n"/>
      <c r="C102" s="59" t="n"/>
      <c r="D102" s="60" t="n"/>
      <c r="E102" s="59" t="n"/>
      <c r="F102" s="59" t="n"/>
      <c r="G102" s="59" t="n"/>
      <c r="H102" s="59" t="n"/>
      <c r="I102" s="59" t="n"/>
      <c r="J102" s="59" t="n"/>
    </row>
    <row r="103" ht="15" customHeight="1" s="32">
      <c r="A103" s="58" t="n">
        <v>95</v>
      </c>
      <c r="B103" s="59" t="n"/>
      <c r="C103" s="59" t="n"/>
      <c r="D103" s="60" t="n"/>
      <c r="E103" s="59" t="n"/>
      <c r="F103" s="59" t="n"/>
      <c r="G103" s="59" t="n"/>
      <c r="H103" s="59" t="n"/>
      <c r="I103" s="59" t="n"/>
      <c r="J103" s="59" t="n"/>
    </row>
    <row r="104" ht="15" customHeight="1" s="32">
      <c r="A104" s="58" t="n">
        <v>96</v>
      </c>
      <c r="B104" s="59" t="n"/>
      <c r="C104" s="59" t="n"/>
      <c r="D104" s="60" t="n"/>
      <c r="E104" s="59" t="n"/>
      <c r="F104" s="59" t="n"/>
      <c r="G104" s="59" t="n"/>
      <c r="H104" s="59" t="n"/>
      <c r="I104" s="59" t="n"/>
      <c r="J104" s="59" t="n"/>
    </row>
    <row r="105" ht="15" customHeight="1" s="32">
      <c r="A105" s="58" t="n">
        <v>97</v>
      </c>
      <c r="B105" s="59" t="n"/>
      <c r="C105" s="59" t="n"/>
      <c r="D105" s="60" t="n"/>
      <c r="E105" s="59" t="n"/>
      <c r="F105" s="59" t="n"/>
      <c r="G105" s="59" t="n"/>
      <c r="H105" s="59" t="n"/>
      <c r="I105" s="59" t="n"/>
      <c r="J105" s="59" t="n"/>
    </row>
    <row r="106" ht="15" customHeight="1" s="32">
      <c r="A106" s="58" t="n">
        <v>98</v>
      </c>
      <c r="B106" s="59" t="n"/>
      <c r="C106" s="59" t="n"/>
      <c r="D106" s="60" t="n"/>
      <c r="E106" s="59" t="n"/>
      <c r="F106" s="59" t="n"/>
      <c r="G106" s="59" t="n"/>
      <c r="H106" s="59" t="n"/>
      <c r="I106" s="59" t="n"/>
      <c r="J106" s="59" t="n"/>
    </row>
    <row r="107" ht="15" customHeight="1" s="32">
      <c r="A107" s="58" t="n">
        <v>99</v>
      </c>
      <c r="B107" s="59" t="n"/>
      <c r="C107" s="59" t="n"/>
      <c r="D107" s="60" t="n"/>
      <c r="E107" s="59" t="n"/>
      <c r="F107" s="59" t="n"/>
      <c r="G107" s="59" t="n"/>
      <c r="H107" s="59" t="n"/>
      <c r="I107" s="59" t="n"/>
      <c r="J107" s="59" t="n"/>
    </row>
    <row r="108" ht="15" customHeight="1" s="32">
      <c r="A108" s="58" t="n">
        <v>100</v>
      </c>
      <c r="B108" s="59" t="n"/>
      <c r="C108" s="59" t="n"/>
      <c r="D108" s="60" t="n"/>
      <c r="E108" s="59" t="n"/>
      <c r="F108" s="59" t="n"/>
      <c r="G108" s="59" t="n"/>
      <c r="H108" s="59" t="n"/>
      <c r="I108" s="59" t="n"/>
      <c r="J108" s="59" t="n"/>
    </row>
    <row r="109" ht="15" customHeight="1" s="32">
      <c r="A109" s="58" t="n">
        <v>101</v>
      </c>
      <c r="B109" s="59" t="n"/>
      <c r="C109" s="59" t="n"/>
      <c r="D109" s="60" t="n"/>
      <c r="E109" s="59" t="n"/>
      <c r="F109" s="59" t="n"/>
      <c r="G109" s="59" t="n"/>
      <c r="H109" s="59" t="n"/>
      <c r="I109" s="59" t="n"/>
      <c r="J109" s="59" t="n"/>
    </row>
    <row r="110" ht="15" customHeight="1" s="32">
      <c r="A110" s="58" t="n">
        <v>102</v>
      </c>
      <c r="B110" s="59" t="n"/>
      <c r="C110" s="59" t="n"/>
      <c r="D110" s="60" t="n"/>
      <c r="E110" s="59" t="n"/>
      <c r="F110" s="59" t="n"/>
      <c r="G110" s="59" t="n"/>
      <c r="H110" s="59" t="n"/>
      <c r="I110" s="59" t="n"/>
      <c r="J110" s="59" t="n"/>
    </row>
    <row r="111" ht="15" customHeight="1" s="32">
      <c r="A111" s="58" t="n">
        <v>103</v>
      </c>
      <c r="B111" s="59" t="n"/>
      <c r="C111" s="59" t="n"/>
      <c r="D111" s="60" t="n"/>
      <c r="E111" s="59" t="n"/>
      <c r="F111" s="59" t="n"/>
      <c r="G111" s="59" t="n"/>
      <c r="H111" s="59" t="n"/>
      <c r="I111" s="59" t="n"/>
      <c r="J111" s="59" t="n"/>
    </row>
    <row r="112" ht="15" customHeight="1" s="32">
      <c r="A112" s="58" t="n">
        <v>104</v>
      </c>
      <c r="B112" s="59" t="n"/>
      <c r="C112" s="59" t="n"/>
      <c r="D112" s="60" t="n"/>
      <c r="E112" s="59" t="n"/>
      <c r="F112" s="59" t="n"/>
      <c r="G112" s="59" t="n"/>
      <c r="H112" s="59" t="n"/>
      <c r="I112" s="59" t="n"/>
      <c r="J112" s="59" t="n"/>
    </row>
    <row r="113" ht="15" customHeight="1" s="32">
      <c r="A113" s="58" t="n">
        <v>105</v>
      </c>
      <c r="B113" s="59" t="n"/>
      <c r="C113" s="59" t="n"/>
      <c r="D113" s="60" t="n"/>
      <c r="E113" s="59" t="n"/>
      <c r="F113" s="59" t="n"/>
      <c r="G113" s="59" t="n"/>
      <c r="H113" s="59" t="n"/>
      <c r="I113" s="59" t="n"/>
      <c r="J113" s="59" t="n"/>
    </row>
    <row r="114" ht="15" customHeight="1" s="32">
      <c r="A114" s="58" t="n">
        <v>106</v>
      </c>
      <c r="B114" s="59" t="n"/>
      <c r="C114" s="59" t="n"/>
      <c r="D114" s="60" t="n"/>
      <c r="E114" s="59" t="n"/>
      <c r="F114" s="59" t="n"/>
      <c r="G114" s="59" t="n"/>
      <c r="H114" s="59" t="n"/>
      <c r="I114" s="59" t="n"/>
      <c r="J114" s="59" t="n"/>
    </row>
    <row r="115" ht="15" customHeight="1" s="32">
      <c r="A115" s="58" t="n">
        <v>107</v>
      </c>
      <c r="B115" s="59" t="n"/>
      <c r="C115" s="59" t="n"/>
      <c r="D115" s="60" t="n"/>
      <c r="E115" s="59" t="n"/>
      <c r="F115" s="59" t="n"/>
      <c r="G115" s="59" t="n"/>
      <c r="H115" s="59" t="n"/>
      <c r="I115" s="59" t="n"/>
      <c r="J115" s="59" t="n"/>
    </row>
    <row r="116" ht="15" customHeight="1" s="32">
      <c r="A116" s="58" t="n">
        <v>108</v>
      </c>
      <c r="B116" s="59" t="n"/>
      <c r="C116" s="59" t="n"/>
      <c r="D116" s="60" t="n"/>
      <c r="E116" s="59" t="n"/>
      <c r="F116" s="59" t="n"/>
      <c r="G116" s="59" t="n"/>
      <c r="H116" s="59" t="n"/>
      <c r="I116" s="59" t="n"/>
      <c r="J116" s="59" t="n"/>
    </row>
    <row r="117" ht="15" customHeight="1" s="32">
      <c r="A117" s="58" t="n">
        <v>109</v>
      </c>
      <c r="B117" s="59" t="n"/>
      <c r="C117" s="59" t="n"/>
      <c r="D117" s="60" t="n"/>
      <c r="E117" s="59" t="n"/>
      <c r="F117" s="59" t="n"/>
      <c r="G117" s="59" t="n"/>
      <c r="H117" s="59" t="n"/>
      <c r="I117" s="59" t="n"/>
      <c r="J117" s="59" t="n"/>
    </row>
    <row r="118" ht="15" customHeight="1" s="32">
      <c r="A118" s="58" t="n">
        <v>110</v>
      </c>
      <c r="B118" s="59" t="n"/>
      <c r="C118" s="59" t="n"/>
      <c r="D118" s="60" t="n"/>
      <c r="E118" s="59" t="n"/>
      <c r="F118" s="59" t="n"/>
      <c r="G118" s="59" t="n"/>
      <c r="H118" s="59" t="n"/>
      <c r="I118" s="59" t="n"/>
      <c r="J118" s="59" t="n"/>
    </row>
    <row r="119" ht="15" customHeight="1" s="32">
      <c r="A119" s="58" t="n">
        <v>111</v>
      </c>
      <c r="B119" s="59" t="n"/>
      <c r="C119" s="59" t="n"/>
      <c r="D119" s="60" t="n"/>
      <c r="E119" s="59" t="n"/>
      <c r="F119" s="59" t="n"/>
      <c r="G119" s="59" t="n"/>
      <c r="H119" s="59" t="n"/>
      <c r="I119" s="59" t="n"/>
      <c r="J119" s="59" t="n"/>
    </row>
    <row r="120" ht="15" customHeight="1" s="32">
      <c r="A120" s="58" t="n">
        <v>112</v>
      </c>
      <c r="B120" s="59" t="n"/>
      <c r="C120" s="59" t="n"/>
      <c r="D120" s="60" t="n"/>
      <c r="E120" s="59" t="n"/>
      <c r="F120" s="59" t="n"/>
      <c r="G120" s="59" t="n"/>
      <c r="H120" s="59" t="n"/>
      <c r="I120" s="59" t="n"/>
      <c r="J120" s="59" t="n"/>
    </row>
    <row r="121" ht="15" customHeight="1" s="32">
      <c r="A121" s="58" t="n">
        <v>113</v>
      </c>
      <c r="B121" s="59" t="n"/>
      <c r="C121" s="59" t="n"/>
      <c r="D121" s="60" t="n"/>
      <c r="E121" s="59" t="n"/>
      <c r="F121" s="59" t="n"/>
      <c r="G121" s="59" t="n"/>
      <c r="H121" s="59" t="n"/>
      <c r="I121" s="59" t="n"/>
      <c r="J121" s="59" t="n"/>
    </row>
    <row r="122" ht="15" customHeight="1" s="32">
      <c r="A122" s="58" t="n">
        <v>114</v>
      </c>
      <c r="B122" s="59" t="n"/>
      <c r="C122" s="59" t="n"/>
      <c r="D122" s="60" t="n"/>
      <c r="E122" s="59" t="n"/>
      <c r="F122" s="59" t="n"/>
      <c r="G122" s="59" t="n"/>
      <c r="H122" s="59" t="n"/>
      <c r="I122" s="59" t="n"/>
      <c r="J122" s="59" t="n"/>
    </row>
    <row r="123" ht="15" customHeight="1" s="32">
      <c r="A123" s="58" t="n">
        <v>115</v>
      </c>
      <c r="B123" s="59" t="n"/>
      <c r="C123" s="59" t="n"/>
      <c r="D123" s="60" t="n"/>
      <c r="E123" s="59" t="n"/>
      <c r="F123" s="59" t="n"/>
      <c r="G123" s="59" t="n"/>
      <c r="H123" s="59" t="n"/>
      <c r="I123" s="59" t="n"/>
      <c r="J123" s="59" t="n"/>
    </row>
    <row r="124" ht="15" customHeight="1" s="32">
      <c r="A124" s="58" t="n">
        <v>116</v>
      </c>
      <c r="B124" s="59" t="n"/>
      <c r="C124" s="59" t="n"/>
      <c r="D124" s="60" t="n"/>
      <c r="E124" s="59" t="n"/>
      <c r="F124" s="59" t="n"/>
      <c r="G124" s="59" t="n"/>
      <c r="H124" s="59" t="n"/>
      <c r="I124" s="59" t="n"/>
      <c r="J124" s="59" t="n"/>
    </row>
    <row r="125" ht="15" customHeight="1" s="32">
      <c r="A125" s="58" t="n">
        <v>117</v>
      </c>
      <c r="B125" s="59" t="n"/>
      <c r="C125" s="59" t="n"/>
      <c r="D125" s="60" t="n"/>
      <c r="E125" s="59" t="n"/>
      <c r="F125" s="59" t="n"/>
      <c r="G125" s="59" t="n"/>
      <c r="H125" s="59" t="n"/>
      <c r="I125" s="59" t="n"/>
      <c r="J125" s="59" t="n"/>
    </row>
    <row r="126" ht="15" customHeight="1" s="32">
      <c r="A126" s="58" t="n">
        <v>118</v>
      </c>
      <c r="B126" s="59" t="n"/>
      <c r="C126" s="59" t="n"/>
      <c r="D126" s="60" t="n"/>
      <c r="E126" s="59" t="n"/>
      <c r="F126" s="59" t="n"/>
      <c r="G126" s="59" t="n"/>
      <c r="H126" s="59" t="n"/>
      <c r="I126" s="59" t="n"/>
      <c r="J126" s="59" t="n"/>
    </row>
    <row r="127" ht="15" customHeight="1" s="32">
      <c r="A127" s="58" t="n">
        <v>119</v>
      </c>
      <c r="B127" s="59" t="n"/>
      <c r="C127" s="59" t="n"/>
      <c r="D127" s="60" t="n"/>
      <c r="E127" s="59" t="n"/>
      <c r="F127" s="59" t="n"/>
      <c r="G127" s="59" t="n"/>
      <c r="H127" s="59" t="n"/>
      <c r="I127" s="59" t="n"/>
      <c r="J127" s="59" t="n"/>
    </row>
    <row r="128" ht="15" customHeight="1" s="32">
      <c r="A128" s="58" t="n">
        <v>120</v>
      </c>
      <c r="B128" s="59" t="n"/>
      <c r="C128" s="59" t="n"/>
      <c r="D128" s="60" t="n"/>
      <c r="E128" s="59" t="n"/>
      <c r="F128" s="59" t="n"/>
      <c r="G128" s="59" t="n"/>
      <c r="H128" s="59" t="n"/>
      <c r="I128" s="59" t="n"/>
      <c r="J128" s="59" t="n"/>
    </row>
    <row r="129" ht="15" customHeight="1" s="32">
      <c r="A129" s="58" t="n">
        <v>121</v>
      </c>
      <c r="B129" s="59" t="n"/>
      <c r="C129" s="59" t="n"/>
      <c r="D129" s="60" t="n"/>
      <c r="E129" s="59" t="n"/>
      <c r="F129" s="59" t="n"/>
      <c r="G129" s="59" t="n"/>
      <c r="H129" s="59" t="n"/>
      <c r="I129" s="59" t="n"/>
      <c r="J129" s="59" t="n"/>
    </row>
    <row r="130" ht="15" customHeight="1" s="32">
      <c r="A130" s="58" t="n">
        <v>122</v>
      </c>
      <c r="B130" s="59" t="n"/>
      <c r="C130" s="59" t="n"/>
      <c r="D130" s="60" t="n"/>
      <c r="E130" s="59" t="n"/>
      <c r="F130" s="59" t="n"/>
      <c r="G130" s="59" t="n"/>
      <c r="H130" s="59" t="n"/>
      <c r="I130" s="59" t="n"/>
      <c r="J130" s="59" t="n"/>
    </row>
    <row r="131" ht="15" customHeight="1" s="32">
      <c r="A131" s="58" t="n">
        <v>123</v>
      </c>
      <c r="B131" s="59" t="n"/>
      <c r="C131" s="59" t="n"/>
      <c r="D131" s="60" t="n"/>
      <c r="E131" s="59" t="n"/>
      <c r="F131" s="59" t="n"/>
      <c r="G131" s="59" t="n"/>
      <c r="H131" s="59" t="n"/>
      <c r="I131" s="59" t="n"/>
      <c r="J131" s="59" t="n"/>
    </row>
    <row r="132" ht="15" customHeight="1" s="32">
      <c r="A132" s="58" t="n">
        <v>124</v>
      </c>
      <c r="B132" s="59" t="n"/>
      <c r="C132" s="59" t="n"/>
      <c r="D132" s="60" t="n"/>
      <c r="E132" s="59" t="n"/>
      <c r="F132" s="59" t="n"/>
      <c r="G132" s="59" t="n"/>
      <c r="H132" s="59" t="n"/>
      <c r="I132" s="59" t="n"/>
      <c r="J132" s="59" t="n"/>
    </row>
    <row r="133" ht="15" customHeight="1" s="32">
      <c r="A133" s="58" t="n">
        <v>125</v>
      </c>
      <c r="B133" s="59" t="n"/>
      <c r="C133" s="59" t="n"/>
      <c r="D133" s="60" t="n"/>
      <c r="E133" s="59" t="n"/>
      <c r="F133" s="59" t="n"/>
      <c r="G133" s="59" t="n"/>
      <c r="H133" s="59" t="n"/>
      <c r="I133" s="59" t="n"/>
      <c r="J133" s="59" t="n"/>
    </row>
    <row r="134" ht="15" customHeight="1" s="32">
      <c r="A134" s="58" t="n">
        <v>126</v>
      </c>
      <c r="B134" s="59" t="n"/>
      <c r="C134" s="59" t="n"/>
      <c r="D134" s="60" t="n"/>
      <c r="E134" s="59" t="n"/>
      <c r="F134" s="59" t="n"/>
      <c r="G134" s="59" t="n"/>
      <c r="H134" s="59" t="n"/>
      <c r="I134" s="59" t="n"/>
      <c r="J134" s="59" t="n"/>
    </row>
    <row r="135" ht="15" customHeight="1" s="32">
      <c r="A135" s="58" t="n">
        <v>127</v>
      </c>
      <c r="B135" s="59" t="n"/>
      <c r="C135" s="59" t="n"/>
      <c r="D135" s="60" t="n"/>
      <c r="E135" s="59" t="n"/>
      <c r="F135" s="59" t="n"/>
      <c r="G135" s="59" t="n"/>
      <c r="H135" s="59" t="n"/>
      <c r="I135" s="59" t="n"/>
      <c r="J135" s="59" t="n"/>
    </row>
    <row r="136" ht="15" customHeight="1" s="32">
      <c r="A136" s="58" t="n">
        <v>128</v>
      </c>
      <c r="B136" s="59" t="n"/>
      <c r="C136" s="59" t="n"/>
      <c r="D136" s="60" t="n"/>
      <c r="E136" s="59" t="n"/>
      <c r="F136" s="59" t="n"/>
      <c r="G136" s="59" t="n"/>
      <c r="H136" s="59" t="n"/>
      <c r="I136" s="59" t="n"/>
      <c r="J136" s="59" t="n"/>
    </row>
    <row r="137" ht="15" customHeight="1" s="32">
      <c r="A137" s="58" t="n">
        <v>129</v>
      </c>
      <c r="B137" s="59" t="n"/>
      <c r="C137" s="59" t="n"/>
      <c r="D137" s="60" t="n"/>
      <c r="E137" s="59" t="n"/>
      <c r="F137" s="59" t="n"/>
      <c r="G137" s="59" t="n"/>
      <c r="H137" s="59" t="n"/>
      <c r="I137" s="59" t="n"/>
      <c r="J137" s="59" t="n"/>
    </row>
    <row r="138" ht="15" customHeight="1" s="32">
      <c r="A138" s="58" t="n">
        <v>130</v>
      </c>
      <c r="B138" s="59" t="n"/>
      <c r="C138" s="59" t="n"/>
      <c r="D138" s="60" t="n"/>
      <c r="E138" s="59" t="n"/>
      <c r="F138" s="59" t="n"/>
      <c r="G138" s="59" t="n"/>
      <c r="H138" s="59" t="n"/>
      <c r="I138" s="59" t="n"/>
      <c r="J138" s="59" t="n"/>
    </row>
    <row r="139" ht="15" customHeight="1" s="32">
      <c r="A139" s="58" t="n">
        <v>131</v>
      </c>
      <c r="B139" s="59" t="n"/>
      <c r="C139" s="59" t="n"/>
      <c r="D139" s="60" t="n"/>
      <c r="E139" s="59" t="n"/>
      <c r="F139" s="59" t="n"/>
      <c r="G139" s="59" t="n"/>
      <c r="H139" s="59" t="n"/>
      <c r="I139" s="59" t="n"/>
      <c r="J139" s="59" t="n"/>
    </row>
    <row r="140" ht="15" customHeight="1" s="32">
      <c r="A140" s="58" t="n">
        <v>132</v>
      </c>
      <c r="B140" s="59" t="n"/>
      <c r="C140" s="59" t="n"/>
      <c r="D140" s="60" t="n"/>
      <c r="E140" s="59" t="n"/>
      <c r="F140" s="59" t="n"/>
      <c r="G140" s="59" t="n"/>
      <c r="H140" s="59" t="n"/>
      <c r="I140" s="59" t="n"/>
      <c r="J140" s="59" t="n"/>
    </row>
    <row r="141" ht="15" customHeight="1" s="32">
      <c r="A141" s="58" t="n">
        <v>133</v>
      </c>
      <c r="B141" s="59" t="n"/>
      <c r="C141" s="59" t="n"/>
      <c r="D141" s="60" t="n"/>
      <c r="E141" s="59" t="n"/>
      <c r="F141" s="59" t="n"/>
      <c r="G141" s="59" t="n"/>
      <c r="H141" s="59" t="n"/>
      <c r="I141" s="59" t="n"/>
      <c r="J141" s="59" t="n"/>
    </row>
    <row r="142" ht="15" customHeight="1" s="32">
      <c r="A142" s="58" t="n">
        <v>134</v>
      </c>
      <c r="B142" s="59" t="n"/>
      <c r="C142" s="59" t="n"/>
      <c r="D142" s="60" t="n"/>
      <c r="E142" s="59" t="n"/>
      <c r="F142" s="59" t="n"/>
      <c r="G142" s="59" t="n"/>
      <c r="H142" s="59" t="n"/>
      <c r="I142" s="59" t="n"/>
      <c r="J142" s="59" t="n"/>
    </row>
    <row r="143" ht="15" customHeight="1" s="32">
      <c r="A143" s="58" t="n">
        <v>135</v>
      </c>
      <c r="B143" s="59" t="n"/>
      <c r="C143" s="59" t="n"/>
      <c r="D143" s="60" t="n"/>
      <c r="E143" s="59" t="n"/>
      <c r="F143" s="59" t="n"/>
      <c r="G143" s="59" t="n"/>
      <c r="H143" s="59" t="n"/>
      <c r="I143" s="59" t="n"/>
      <c r="J143" s="59" t="n"/>
    </row>
    <row r="144" ht="15" customHeight="1" s="32">
      <c r="A144" s="58" t="n">
        <v>136</v>
      </c>
      <c r="B144" s="59" t="n"/>
      <c r="C144" s="59" t="n"/>
      <c r="D144" s="60" t="n"/>
      <c r="E144" s="59" t="n"/>
      <c r="F144" s="59" t="n"/>
      <c r="G144" s="59" t="n"/>
      <c r="H144" s="59" t="n"/>
      <c r="I144" s="59" t="n"/>
      <c r="J144" s="59" t="n"/>
    </row>
    <row r="145" ht="15" customHeight="1" s="32">
      <c r="A145" s="58" t="n">
        <v>137</v>
      </c>
      <c r="B145" s="59" t="n"/>
      <c r="C145" s="59" t="n"/>
      <c r="D145" s="60" t="n"/>
      <c r="E145" s="59" t="n"/>
      <c r="F145" s="59" t="n"/>
      <c r="G145" s="59" t="n"/>
      <c r="H145" s="59" t="n"/>
      <c r="I145" s="59" t="n"/>
      <c r="J145" s="59" t="n"/>
    </row>
    <row r="146" ht="15" customHeight="1" s="32">
      <c r="A146" s="58" t="n">
        <v>138</v>
      </c>
      <c r="B146" s="59" t="n"/>
      <c r="C146" s="59" t="n"/>
      <c r="D146" s="60" t="n"/>
      <c r="E146" s="59" t="n"/>
      <c r="F146" s="59" t="n"/>
      <c r="G146" s="59" t="n"/>
      <c r="H146" s="59" t="n"/>
      <c r="I146" s="59" t="n"/>
      <c r="J146" s="59" t="n"/>
    </row>
    <row r="147" ht="15" customHeight="1" s="32">
      <c r="A147" s="58" t="n">
        <v>139</v>
      </c>
      <c r="B147" s="59" t="n"/>
      <c r="C147" s="59" t="n"/>
      <c r="D147" s="60" t="n"/>
      <c r="E147" s="59" t="n"/>
      <c r="F147" s="59" t="n"/>
      <c r="G147" s="59" t="n"/>
      <c r="H147" s="59" t="n"/>
      <c r="I147" s="59" t="n"/>
      <c r="J147" s="59" t="n"/>
    </row>
    <row r="148" ht="15" customHeight="1" s="32">
      <c r="A148" s="58" t="n">
        <v>140</v>
      </c>
      <c r="B148" s="59" t="n"/>
      <c r="C148" s="59" t="n"/>
      <c r="D148" s="60" t="n"/>
      <c r="E148" s="59" t="n"/>
      <c r="F148" s="59" t="n"/>
      <c r="G148" s="59" t="n"/>
      <c r="H148" s="59" t="n"/>
      <c r="I148" s="59" t="n"/>
      <c r="J148" s="59" t="n"/>
    </row>
    <row r="149" ht="15" customHeight="1" s="32">
      <c r="A149" s="58" t="n">
        <v>141</v>
      </c>
      <c r="B149" s="59" t="n"/>
      <c r="C149" s="59" t="n"/>
      <c r="D149" s="60" t="n"/>
      <c r="E149" s="59" t="n"/>
      <c r="F149" s="59" t="n"/>
      <c r="G149" s="59" t="n"/>
      <c r="H149" s="59" t="n"/>
      <c r="I149" s="59" t="n"/>
      <c r="J149" s="59" t="n"/>
    </row>
    <row r="150" ht="15" customHeight="1" s="32">
      <c r="A150" s="58" t="n">
        <v>142</v>
      </c>
      <c r="B150" s="59" t="n"/>
      <c r="C150" s="59" t="n"/>
      <c r="D150" s="60" t="n"/>
      <c r="E150" s="59" t="n"/>
      <c r="F150" s="59" t="n"/>
      <c r="G150" s="59" t="n"/>
      <c r="H150" s="59" t="n"/>
      <c r="I150" s="59" t="n"/>
      <c r="J150" s="59" t="n"/>
    </row>
    <row r="151" ht="15" customHeight="1" s="32">
      <c r="A151" s="58" t="n">
        <v>143</v>
      </c>
      <c r="B151" s="59" t="n"/>
      <c r="C151" s="59" t="n"/>
      <c r="D151" s="60" t="n"/>
      <c r="E151" s="59" t="n"/>
      <c r="F151" s="59" t="n"/>
      <c r="G151" s="59" t="n"/>
      <c r="H151" s="59" t="n"/>
      <c r="I151" s="59" t="n"/>
      <c r="J151" s="59" t="n"/>
    </row>
    <row r="152" ht="15" customHeight="1" s="32">
      <c r="A152" s="58" t="n">
        <v>144</v>
      </c>
      <c r="B152" s="59" t="n"/>
      <c r="C152" s="59" t="n"/>
      <c r="D152" s="60" t="n"/>
      <c r="E152" s="59" t="n"/>
      <c r="F152" s="59" t="n"/>
      <c r="G152" s="59" t="n"/>
      <c r="H152" s="59" t="n"/>
      <c r="I152" s="59" t="n"/>
      <c r="J152" s="59" t="n"/>
    </row>
    <row r="153" ht="15" customHeight="1" s="32">
      <c r="A153" s="58" t="n">
        <v>145</v>
      </c>
      <c r="B153" s="59" t="n"/>
      <c r="C153" s="59" t="n"/>
      <c r="D153" s="60" t="n"/>
      <c r="E153" s="59" t="n"/>
      <c r="F153" s="59" t="n"/>
      <c r="G153" s="59" t="n"/>
      <c r="H153" s="59" t="n"/>
      <c r="I153" s="59" t="n"/>
      <c r="J153" s="59" t="n"/>
    </row>
    <row r="154" ht="15" customHeight="1" s="32">
      <c r="A154" s="58" t="n">
        <v>146</v>
      </c>
      <c r="B154" s="59" t="n"/>
      <c r="C154" s="59" t="n"/>
      <c r="D154" s="60" t="n"/>
      <c r="E154" s="59" t="n"/>
      <c r="F154" s="59" t="n"/>
      <c r="G154" s="59" t="n"/>
      <c r="H154" s="59" t="n"/>
      <c r="I154" s="59" t="n"/>
      <c r="J154" s="59" t="n"/>
    </row>
    <row r="155" ht="15" customHeight="1" s="32">
      <c r="A155" s="58" t="n">
        <v>147</v>
      </c>
      <c r="B155" s="59" t="n"/>
      <c r="C155" s="59" t="n"/>
      <c r="D155" s="60" t="n"/>
      <c r="E155" s="59" t="n"/>
      <c r="F155" s="59" t="n"/>
      <c r="G155" s="59" t="n"/>
      <c r="H155" s="59" t="n"/>
      <c r="I155" s="59" t="n"/>
      <c r="J155" s="59" t="n"/>
    </row>
    <row r="156" ht="15" customHeight="1" s="32">
      <c r="A156" s="58" t="n">
        <v>148</v>
      </c>
      <c r="B156" s="59" t="n"/>
      <c r="C156" s="59" t="n"/>
      <c r="D156" s="60" t="n"/>
      <c r="E156" s="59" t="n"/>
      <c r="F156" s="59" t="n"/>
      <c r="G156" s="59" t="n"/>
      <c r="H156" s="59" t="n"/>
      <c r="I156" s="59" t="n"/>
      <c r="J156" s="59" t="n"/>
    </row>
    <row r="157" ht="15" customHeight="1" s="32">
      <c r="A157" s="58" t="n">
        <v>149</v>
      </c>
      <c r="B157" s="59" t="n"/>
      <c r="C157" s="59" t="n"/>
      <c r="D157" s="60" t="n"/>
      <c r="E157" s="59" t="n"/>
      <c r="F157" s="59" t="n"/>
      <c r="G157" s="59" t="n"/>
      <c r="H157" s="59" t="n"/>
      <c r="I157" s="59" t="n"/>
      <c r="J157" s="59" t="n"/>
    </row>
    <row r="158" ht="15" customHeight="1" s="32">
      <c r="A158" s="58" t="n">
        <v>150</v>
      </c>
      <c r="B158" s="59" t="n"/>
      <c r="C158" s="59" t="n"/>
      <c r="D158" s="60" t="n"/>
      <c r="E158" s="59" t="n"/>
      <c r="F158" s="59" t="n"/>
      <c r="G158" s="59" t="n"/>
      <c r="H158" s="59" t="n"/>
      <c r="I158" s="59" t="n"/>
      <c r="J158" s="59" t="n"/>
    </row>
    <row r="159" ht="15" customHeight="1" s="32">
      <c r="A159" s="58" t="n">
        <v>151</v>
      </c>
      <c r="B159" s="59" t="n"/>
      <c r="C159" s="59" t="n"/>
      <c r="D159" s="60" t="n"/>
      <c r="E159" s="59" t="n"/>
      <c r="F159" s="59" t="n"/>
      <c r="G159" s="59" t="n"/>
      <c r="H159" s="59" t="n"/>
      <c r="I159" s="59" t="n"/>
      <c r="J159" s="59" t="n"/>
    </row>
    <row r="160" ht="15" customHeight="1" s="32">
      <c r="A160" s="58" t="n">
        <v>152</v>
      </c>
      <c r="B160" s="59" t="n"/>
      <c r="C160" s="59" t="n"/>
      <c r="D160" s="60" t="n"/>
      <c r="E160" s="59" t="n"/>
      <c r="F160" s="59" t="n"/>
      <c r="G160" s="59" t="n"/>
      <c r="H160" s="59" t="n"/>
      <c r="I160" s="59" t="n"/>
      <c r="J160" s="59" t="n"/>
    </row>
    <row r="161" ht="15" customHeight="1" s="32">
      <c r="A161" s="58" t="n">
        <v>153</v>
      </c>
      <c r="B161" s="59" t="n"/>
      <c r="C161" s="59" t="n"/>
      <c r="D161" s="60" t="n"/>
      <c r="E161" s="59" t="n"/>
      <c r="F161" s="59" t="n"/>
      <c r="G161" s="59" t="n"/>
      <c r="H161" s="59" t="n"/>
      <c r="I161" s="59" t="n"/>
      <c r="J161" s="59" t="n"/>
    </row>
    <row r="162" ht="15" customHeight="1" s="32">
      <c r="A162" s="58" t="n">
        <v>154</v>
      </c>
      <c r="B162" s="59" t="n"/>
      <c r="C162" s="59" t="n"/>
      <c r="D162" s="60" t="n"/>
      <c r="E162" s="59" t="n"/>
      <c r="F162" s="59" t="n"/>
      <c r="G162" s="59" t="n"/>
      <c r="H162" s="59" t="n"/>
      <c r="I162" s="59" t="n"/>
      <c r="J162" s="59" t="n"/>
    </row>
    <row r="163" ht="15" customHeight="1" s="32">
      <c r="A163" s="58" t="n">
        <v>155</v>
      </c>
      <c r="B163" s="59" t="n"/>
      <c r="C163" s="59" t="n"/>
      <c r="D163" s="60" t="n"/>
      <c r="E163" s="59" t="n"/>
      <c r="F163" s="59" t="n"/>
      <c r="G163" s="59" t="n"/>
      <c r="H163" s="59" t="n"/>
      <c r="I163" s="59" t="n"/>
      <c r="J163" s="59" t="n"/>
    </row>
    <row r="164" ht="15" customHeight="1" s="32">
      <c r="A164" s="58" t="n">
        <v>156</v>
      </c>
      <c r="B164" s="59" t="n"/>
      <c r="C164" s="59" t="n"/>
      <c r="D164" s="60" t="n"/>
      <c r="E164" s="59" t="n"/>
      <c r="F164" s="59" t="n"/>
      <c r="G164" s="59" t="n"/>
      <c r="H164" s="59" t="n"/>
      <c r="I164" s="59" t="n"/>
      <c r="J164" s="59" t="n"/>
    </row>
    <row r="165" ht="15" customHeight="1" s="32">
      <c r="A165" s="58" t="n">
        <v>157</v>
      </c>
      <c r="B165" s="59" t="n"/>
      <c r="C165" s="59" t="n"/>
      <c r="D165" s="60" t="n"/>
      <c r="E165" s="59" t="n"/>
      <c r="F165" s="59" t="n"/>
      <c r="G165" s="59" t="n"/>
      <c r="H165" s="59" t="n"/>
      <c r="I165" s="59" t="n"/>
      <c r="J165" s="59" t="n"/>
    </row>
    <row r="166" ht="15" customHeight="1" s="32">
      <c r="A166" s="58" t="n">
        <v>158</v>
      </c>
      <c r="B166" s="59" t="n"/>
      <c r="C166" s="59" t="n"/>
      <c r="D166" s="60" t="n"/>
      <c r="E166" s="59" t="n"/>
      <c r="F166" s="59" t="n"/>
      <c r="G166" s="59" t="n"/>
      <c r="H166" s="59" t="n"/>
      <c r="I166" s="59" t="n"/>
      <c r="J166" s="59" t="n"/>
    </row>
    <row r="167" ht="15" customHeight="1" s="32">
      <c r="A167" s="58" t="n">
        <v>159</v>
      </c>
      <c r="B167" s="59" t="n"/>
      <c r="C167" s="59" t="n"/>
      <c r="D167" s="60" t="n"/>
      <c r="E167" s="59" t="n"/>
      <c r="F167" s="59" t="n"/>
      <c r="G167" s="59" t="n"/>
      <c r="H167" s="59" t="n"/>
      <c r="I167" s="59" t="n"/>
      <c r="J167" s="59" t="n"/>
    </row>
    <row r="168" ht="15" customHeight="1" s="32">
      <c r="A168" s="58" t="n">
        <v>160</v>
      </c>
      <c r="B168" s="59" t="n"/>
      <c r="C168" s="59" t="n"/>
      <c r="D168" s="60" t="n"/>
      <c r="E168" s="59" t="n"/>
      <c r="F168" s="59" t="n"/>
      <c r="G168" s="59" t="n"/>
      <c r="H168" s="59" t="n"/>
      <c r="I168" s="59" t="n"/>
      <c r="J168" s="59" t="n"/>
    </row>
    <row r="169" ht="15" customHeight="1" s="32">
      <c r="A169" s="58" t="n">
        <v>161</v>
      </c>
      <c r="B169" s="59" t="n"/>
      <c r="C169" s="59" t="n"/>
      <c r="D169" s="60" t="n"/>
      <c r="E169" s="59" t="n"/>
      <c r="F169" s="59" t="n"/>
      <c r="G169" s="59" t="n"/>
      <c r="H169" s="59" t="n"/>
      <c r="I169" s="59" t="n"/>
      <c r="J169" s="59" t="n"/>
    </row>
    <row r="170" ht="15" customHeight="1" s="32">
      <c r="A170" s="58" t="n">
        <v>162</v>
      </c>
      <c r="B170" s="59" t="n"/>
      <c r="C170" s="59" t="n"/>
      <c r="D170" s="60" t="n"/>
      <c r="E170" s="59" t="n"/>
      <c r="F170" s="59" t="n"/>
      <c r="G170" s="59" t="n"/>
      <c r="H170" s="59" t="n"/>
      <c r="I170" s="59" t="n"/>
      <c r="J170" s="59" t="n"/>
    </row>
    <row r="171" ht="15" customHeight="1" s="32">
      <c r="A171" s="58" t="n">
        <v>163</v>
      </c>
      <c r="B171" s="59" t="n"/>
      <c r="C171" s="59" t="n"/>
      <c r="D171" s="60" t="n"/>
      <c r="E171" s="59" t="n"/>
      <c r="F171" s="59" t="n"/>
      <c r="G171" s="59" t="n"/>
      <c r="H171" s="59" t="n"/>
      <c r="I171" s="59" t="n"/>
      <c r="J171" s="59" t="n"/>
    </row>
    <row r="172" ht="15" customHeight="1" s="32">
      <c r="A172" s="58" t="n">
        <v>164</v>
      </c>
      <c r="B172" s="59" t="n"/>
      <c r="C172" s="59" t="n"/>
      <c r="D172" s="60" t="n"/>
      <c r="E172" s="59" t="n"/>
      <c r="F172" s="59" t="n"/>
      <c r="G172" s="59" t="n"/>
      <c r="H172" s="59" t="n"/>
      <c r="I172" s="59" t="n"/>
      <c r="J172" s="59" t="n"/>
    </row>
    <row r="173" ht="15" customHeight="1" s="32">
      <c r="A173" s="58" t="n">
        <v>165</v>
      </c>
      <c r="B173" s="59" t="n"/>
      <c r="C173" s="59" t="n"/>
      <c r="D173" s="60" t="n"/>
      <c r="E173" s="59" t="n"/>
      <c r="F173" s="59" t="n"/>
      <c r="G173" s="59" t="n"/>
      <c r="H173" s="59" t="n"/>
      <c r="I173" s="59" t="n"/>
      <c r="J173" s="59" t="n"/>
    </row>
    <row r="174" ht="15" customHeight="1" s="32">
      <c r="A174" s="58" t="n">
        <v>166</v>
      </c>
      <c r="B174" s="59" t="n"/>
      <c r="C174" s="59" t="n"/>
      <c r="D174" s="60" t="n"/>
      <c r="E174" s="59" t="n"/>
      <c r="F174" s="59" t="n"/>
      <c r="G174" s="59" t="n"/>
      <c r="H174" s="59" t="n"/>
      <c r="I174" s="59" t="n"/>
      <c r="J174" s="59" t="n"/>
    </row>
    <row r="175" ht="15" customHeight="1" s="32">
      <c r="A175" s="58" t="n">
        <v>167</v>
      </c>
      <c r="B175" s="59" t="n"/>
      <c r="C175" s="59" t="n"/>
      <c r="D175" s="60" t="n"/>
      <c r="E175" s="59" t="n"/>
      <c r="F175" s="59" t="n"/>
      <c r="G175" s="59" t="n"/>
      <c r="H175" s="59" t="n"/>
      <c r="I175" s="59" t="n"/>
      <c r="J175" s="59" t="n"/>
    </row>
    <row r="176" ht="15" customHeight="1" s="32">
      <c r="A176" s="58" t="n">
        <v>168</v>
      </c>
      <c r="B176" s="59" t="n"/>
      <c r="C176" s="59" t="n"/>
      <c r="D176" s="60" t="n"/>
      <c r="E176" s="59" t="n"/>
      <c r="F176" s="59" t="n"/>
      <c r="G176" s="59" t="n"/>
      <c r="H176" s="59" t="n"/>
      <c r="I176" s="59" t="n"/>
      <c r="J176" s="59" t="n"/>
    </row>
    <row r="177" ht="15" customHeight="1" s="32">
      <c r="A177" s="58" t="n">
        <v>169</v>
      </c>
      <c r="B177" s="59" t="n"/>
      <c r="C177" s="59" t="n"/>
      <c r="D177" s="60" t="n"/>
      <c r="E177" s="59" t="n"/>
      <c r="F177" s="59" t="n"/>
      <c r="G177" s="59" t="n"/>
      <c r="H177" s="59" t="n"/>
      <c r="I177" s="59" t="n"/>
      <c r="J177" s="59" t="n"/>
    </row>
    <row r="178" ht="15" customHeight="1" s="32">
      <c r="A178" s="58" t="n">
        <v>170</v>
      </c>
      <c r="B178" s="59" t="n"/>
      <c r="C178" s="59" t="n"/>
      <c r="D178" s="60" t="n"/>
      <c r="E178" s="59" t="n"/>
      <c r="F178" s="59" t="n"/>
      <c r="G178" s="59" t="n"/>
      <c r="H178" s="59" t="n"/>
      <c r="I178" s="59" t="n"/>
      <c r="J178" s="59" t="n"/>
    </row>
    <row r="179" ht="15" customHeight="1" s="32">
      <c r="A179" s="58" t="n">
        <v>171</v>
      </c>
      <c r="B179" s="59" t="n"/>
      <c r="C179" s="59" t="n"/>
      <c r="D179" s="60" t="n"/>
      <c r="E179" s="59" t="n"/>
      <c r="F179" s="59" t="n"/>
      <c r="G179" s="59" t="n"/>
      <c r="H179" s="59" t="n"/>
      <c r="I179" s="59" t="n"/>
      <c r="J179" s="59" t="n"/>
    </row>
    <row r="180" ht="15" customHeight="1" s="32">
      <c r="A180" s="58" t="n">
        <v>172</v>
      </c>
      <c r="B180" s="59" t="n"/>
      <c r="C180" s="59" t="n"/>
      <c r="D180" s="60" t="n"/>
      <c r="E180" s="59" t="n"/>
      <c r="F180" s="59" t="n"/>
      <c r="G180" s="59" t="n"/>
      <c r="H180" s="59" t="n"/>
      <c r="I180" s="59" t="n"/>
      <c r="J180" s="59" t="n"/>
    </row>
    <row r="181" ht="15" customHeight="1" s="32">
      <c r="A181" s="58" t="n">
        <v>173</v>
      </c>
      <c r="B181" s="59" t="n"/>
      <c r="C181" s="59" t="n"/>
      <c r="D181" s="60" t="n"/>
      <c r="E181" s="59" t="n"/>
      <c r="F181" s="59" t="n"/>
      <c r="G181" s="59" t="n"/>
      <c r="H181" s="59" t="n"/>
      <c r="I181" s="59" t="n"/>
      <c r="J181" s="59" t="n"/>
    </row>
    <row r="182" ht="15" customHeight="1" s="32">
      <c r="A182" s="58" t="n">
        <v>174</v>
      </c>
      <c r="B182" s="59" t="n"/>
      <c r="C182" s="59" t="n"/>
      <c r="D182" s="60" t="n"/>
      <c r="E182" s="59" t="n"/>
      <c r="F182" s="59" t="n"/>
      <c r="G182" s="59" t="n"/>
      <c r="H182" s="59" t="n"/>
      <c r="I182" s="59" t="n"/>
      <c r="J182" s="59" t="n"/>
    </row>
    <row r="183" ht="15" customHeight="1" s="32">
      <c r="A183" s="58" t="n">
        <v>175</v>
      </c>
      <c r="B183" s="59" t="n"/>
      <c r="C183" s="59" t="n"/>
      <c r="D183" s="60" t="n"/>
      <c r="E183" s="59" t="n"/>
      <c r="F183" s="59" t="n"/>
      <c r="G183" s="59" t="n"/>
      <c r="H183" s="59" t="n"/>
      <c r="I183" s="59" t="n"/>
      <c r="J183" s="59" t="n"/>
    </row>
    <row r="184" ht="15" customHeight="1" s="32">
      <c r="A184" s="58" t="n">
        <v>176</v>
      </c>
      <c r="B184" s="59" t="n"/>
      <c r="C184" s="59" t="n"/>
      <c r="D184" s="60" t="n"/>
      <c r="E184" s="59" t="n"/>
      <c r="F184" s="59" t="n"/>
      <c r="G184" s="59" t="n"/>
      <c r="H184" s="59" t="n"/>
      <c r="I184" s="59" t="n"/>
      <c r="J184" s="59" t="n"/>
    </row>
    <row r="185" ht="15" customHeight="1" s="32">
      <c r="A185" s="58" t="n">
        <v>177</v>
      </c>
      <c r="B185" s="59" t="n"/>
      <c r="C185" s="59" t="n"/>
      <c r="D185" s="60" t="n"/>
      <c r="E185" s="59" t="n"/>
      <c r="F185" s="59" t="n"/>
      <c r="G185" s="59" t="n"/>
      <c r="H185" s="59" t="n"/>
      <c r="I185" s="59" t="n"/>
      <c r="J185" s="59" t="n"/>
    </row>
    <row r="186" ht="15" customHeight="1" s="32">
      <c r="A186" s="58" t="n">
        <v>178</v>
      </c>
      <c r="B186" s="59" t="n"/>
      <c r="C186" s="59" t="n"/>
      <c r="D186" s="60" t="n"/>
      <c r="E186" s="59" t="n"/>
      <c r="F186" s="59" t="n"/>
      <c r="G186" s="59" t="n"/>
      <c r="H186" s="59" t="n"/>
      <c r="I186" s="59" t="n"/>
      <c r="J186" s="59" t="n"/>
    </row>
    <row r="187" ht="15" customHeight="1" s="32">
      <c r="A187" s="58" t="n">
        <v>179</v>
      </c>
      <c r="B187" s="59" t="n"/>
      <c r="C187" s="59" t="n"/>
      <c r="D187" s="60" t="n"/>
      <c r="E187" s="59" t="n"/>
      <c r="F187" s="59" t="n"/>
      <c r="G187" s="59" t="n"/>
      <c r="H187" s="59" t="n"/>
      <c r="I187" s="59" t="n"/>
      <c r="J187" s="59" t="n"/>
    </row>
    <row r="188" ht="15" customHeight="1" s="32">
      <c r="A188" s="58" t="n">
        <v>180</v>
      </c>
      <c r="B188" s="59" t="n"/>
      <c r="C188" s="59" t="n"/>
      <c r="D188" s="60" t="n"/>
      <c r="E188" s="59" t="n"/>
      <c r="F188" s="59" t="n"/>
      <c r="G188" s="59" t="n"/>
      <c r="H188" s="59" t="n"/>
      <c r="I188" s="59" t="n"/>
      <c r="J188" s="59" t="n"/>
    </row>
    <row r="189" ht="15" customHeight="1" s="32">
      <c r="A189" s="58" t="n">
        <v>181</v>
      </c>
      <c r="B189" s="59" t="n"/>
      <c r="C189" s="59" t="n"/>
      <c r="D189" s="60" t="n"/>
      <c r="E189" s="59" t="n"/>
      <c r="F189" s="59" t="n"/>
      <c r="G189" s="59" t="n"/>
      <c r="H189" s="59" t="n"/>
      <c r="I189" s="59" t="n"/>
      <c r="J189" s="59" t="n"/>
    </row>
    <row r="190" ht="15" customHeight="1" s="32">
      <c r="A190" s="58" t="n">
        <v>182</v>
      </c>
      <c r="B190" s="59" t="n"/>
      <c r="C190" s="59" t="n"/>
      <c r="D190" s="60" t="n"/>
      <c r="E190" s="59" t="n"/>
      <c r="F190" s="59" t="n"/>
      <c r="G190" s="59" t="n"/>
      <c r="H190" s="59" t="n"/>
      <c r="I190" s="59" t="n"/>
      <c r="J190" s="59" t="n"/>
    </row>
    <row r="191" ht="15" customHeight="1" s="32">
      <c r="A191" s="58" t="n">
        <v>183</v>
      </c>
      <c r="B191" s="59" t="n"/>
      <c r="C191" s="59" t="n"/>
      <c r="D191" s="60" t="n"/>
      <c r="E191" s="59" t="n"/>
      <c r="F191" s="59" t="n"/>
      <c r="G191" s="59" t="n"/>
      <c r="H191" s="59" t="n"/>
      <c r="I191" s="59" t="n"/>
      <c r="J191" s="59" t="n"/>
    </row>
    <row r="192" ht="15" customHeight="1" s="32">
      <c r="A192" s="58" t="n">
        <v>184</v>
      </c>
      <c r="B192" s="59" t="n"/>
      <c r="C192" s="59" t="n"/>
      <c r="D192" s="60" t="n"/>
      <c r="E192" s="59" t="n"/>
      <c r="F192" s="59" t="n"/>
      <c r="G192" s="59" t="n"/>
      <c r="H192" s="59" t="n"/>
      <c r="I192" s="59" t="n"/>
      <c r="J192" s="59" t="n"/>
    </row>
    <row r="193" ht="15" customHeight="1" s="32">
      <c r="A193" s="58" t="n">
        <v>185</v>
      </c>
      <c r="B193" s="59" t="n"/>
      <c r="C193" s="59" t="n"/>
      <c r="D193" s="60" t="n"/>
      <c r="E193" s="59" t="n"/>
      <c r="F193" s="59" t="n"/>
      <c r="G193" s="59" t="n"/>
      <c r="H193" s="59" t="n"/>
      <c r="I193" s="59" t="n"/>
      <c r="J193" s="59" t="n"/>
    </row>
    <row r="194" ht="15" customHeight="1" s="32">
      <c r="A194" s="58" t="n">
        <v>186</v>
      </c>
      <c r="B194" s="59" t="n"/>
      <c r="C194" s="59" t="n"/>
      <c r="D194" s="60" t="n"/>
      <c r="E194" s="59" t="n"/>
      <c r="F194" s="59" t="n"/>
      <c r="G194" s="59" t="n"/>
      <c r="H194" s="59" t="n"/>
      <c r="I194" s="59" t="n"/>
      <c r="J194" s="59" t="n"/>
    </row>
    <row r="195" ht="15" customHeight="1" s="32">
      <c r="A195" s="58" t="n">
        <v>187</v>
      </c>
      <c r="B195" s="59" t="n"/>
      <c r="C195" s="59" t="n"/>
      <c r="D195" s="60" t="n"/>
      <c r="E195" s="59" t="n"/>
      <c r="F195" s="59" t="n"/>
      <c r="G195" s="59" t="n"/>
      <c r="H195" s="59" t="n"/>
      <c r="I195" s="59" t="n"/>
      <c r="J195" s="59" t="n"/>
    </row>
    <row r="196" ht="15" customHeight="1" s="32">
      <c r="A196" s="58" t="n">
        <v>188</v>
      </c>
      <c r="B196" s="59" t="n"/>
      <c r="C196" s="59" t="n"/>
      <c r="D196" s="60" t="n"/>
      <c r="E196" s="59" t="n"/>
      <c r="F196" s="59" t="n"/>
      <c r="G196" s="59" t="n"/>
      <c r="H196" s="59" t="n"/>
      <c r="I196" s="59" t="n"/>
      <c r="J196" s="59" t="n"/>
    </row>
    <row r="197" ht="15" customHeight="1" s="32">
      <c r="A197" s="58" t="n">
        <v>189</v>
      </c>
      <c r="B197" s="59" t="n"/>
      <c r="C197" s="59" t="n"/>
      <c r="D197" s="60" t="n"/>
      <c r="E197" s="59" t="n"/>
      <c r="F197" s="59" t="n"/>
      <c r="G197" s="59" t="n"/>
      <c r="H197" s="59" t="n"/>
      <c r="I197" s="59" t="n"/>
      <c r="J197" s="59" t="n"/>
    </row>
    <row r="198" ht="15" customHeight="1" s="32">
      <c r="A198" s="58" t="n">
        <v>190</v>
      </c>
      <c r="B198" s="59" t="n"/>
      <c r="C198" s="59" t="n"/>
      <c r="D198" s="60" t="n"/>
      <c r="E198" s="59" t="n"/>
      <c r="F198" s="59" t="n"/>
      <c r="G198" s="59" t="n"/>
      <c r="H198" s="59" t="n"/>
      <c r="I198" s="59" t="n"/>
      <c r="J198" s="59" t="n"/>
    </row>
    <row r="199" ht="15" customHeight="1" s="32">
      <c r="A199" s="58" t="n">
        <v>191</v>
      </c>
      <c r="B199" s="59" t="n"/>
      <c r="C199" s="59" t="n"/>
      <c r="D199" s="60" t="n"/>
      <c r="E199" s="59" t="n"/>
      <c r="F199" s="59" t="n"/>
      <c r="G199" s="59" t="n"/>
      <c r="H199" s="59" t="n"/>
      <c r="I199" s="59" t="n"/>
      <c r="J199" s="59" t="n"/>
    </row>
    <row r="200" ht="15" customHeight="1" s="32">
      <c r="A200" s="58" t="n">
        <v>192</v>
      </c>
      <c r="B200" s="59" t="n"/>
      <c r="C200" s="59" t="n"/>
      <c r="D200" s="60" t="n"/>
      <c r="E200" s="59" t="n"/>
      <c r="F200" s="59" t="n"/>
      <c r="G200" s="59" t="n"/>
      <c r="H200" s="59" t="n"/>
      <c r="I200" s="59" t="n"/>
      <c r="J200" s="59" t="n"/>
    </row>
    <row r="201" ht="15" customHeight="1" s="32">
      <c r="A201" s="58" t="n">
        <v>193</v>
      </c>
      <c r="B201" s="59" t="n"/>
      <c r="C201" s="59" t="n"/>
      <c r="D201" s="60" t="n"/>
      <c r="E201" s="59" t="n"/>
      <c r="F201" s="59" t="n"/>
      <c r="G201" s="59" t="n"/>
      <c r="H201" s="59" t="n"/>
      <c r="I201" s="59" t="n"/>
      <c r="J201" s="59" t="n"/>
    </row>
    <row r="202" ht="15" customHeight="1" s="32">
      <c r="A202" s="58" t="n">
        <v>194</v>
      </c>
      <c r="B202" s="59" t="n"/>
      <c r="C202" s="59" t="n"/>
      <c r="D202" s="60" t="n"/>
      <c r="E202" s="59" t="n"/>
      <c r="F202" s="59" t="n"/>
      <c r="G202" s="59" t="n"/>
      <c r="H202" s="59" t="n"/>
      <c r="I202" s="59" t="n"/>
      <c r="J202" s="59" t="n"/>
    </row>
    <row r="203" ht="15" customHeight="1" s="32">
      <c r="A203" s="58" t="n">
        <v>195</v>
      </c>
      <c r="B203" s="59" t="n"/>
      <c r="C203" s="59" t="n"/>
      <c r="D203" s="60" t="n"/>
      <c r="E203" s="59" t="n"/>
      <c r="F203" s="59" t="n"/>
      <c r="G203" s="59" t="n"/>
      <c r="H203" s="59" t="n"/>
      <c r="I203" s="59" t="n"/>
      <c r="J203" s="59" t="n"/>
    </row>
    <row r="204" ht="15" customHeight="1" s="32">
      <c r="A204" s="58" t="n">
        <v>196</v>
      </c>
      <c r="B204" s="59" t="n"/>
      <c r="C204" s="59" t="n"/>
      <c r="D204" s="60" t="n"/>
      <c r="E204" s="59" t="n"/>
      <c r="F204" s="59" t="n"/>
      <c r="G204" s="59" t="n"/>
      <c r="H204" s="59" t="n"/>
      <c r="I204" s="59" t="n"/>
      <c r="J204" s="59" t="n"/>
    </row>
    <row r="205" ht="15" customHeight="1" s="32">
      <c r="A205" s="58" t="n">
        <v>197</v>
      </c>
      <c r="B205" s="59" t="n"/>
      <c r="C205" s="59" t="n"/>
      <c r="D205" s="60" t="n"/>
      <c r="E205" s="59" t="n"/>
      <c r="F205" s="59" t="n"/>
      <c r="G205" s="59" t="n"/>
      <c r="H205" s="59" t="n"/>
      <c r="I205" s="59" t="n"/>
      <c r="J205" s="59" t="n"/>
    </row>
    <row r="206" ht="15" customHeight="1" s="32">
      <c r="A206" s="58" t="n">
        <v>198</v>
      </c>
      <c r="B206" s="59" t="n"/>
      <c r="C206" s="59" t="n"/>
      <c r="D206" s="60" t="n"/>
      <c r="E206" s="59" t="n"/>
      <c r="F206" s="59" t="n"/>
      <c r="G206" s="59" t="n"/>
      <c r="H206" s="59" t="n"/>
      <c r="I206" s="59" t="n"/>
      <c r="J206" s="59" t="n"/>
    </row>
    <row r="207" ht="15" customHeight="1" s="32">
      <c r="A207" s="58" t="n">
        <v>199</v>
      </c>
      <c r="B207" s="59" t="n"/>
      <c r="C207" s="59" t="n"/>
      <c r="D207" s="60" t="n"/>
      <c r="E207" s="59" t="n"/>
      <c r="F207" s="59" t="n"/>
      <c r="G207" s="59" t="n"/>
      <c r="H207" s="59" t="n"/>
      <c r="I207" s="59" t="n"/>
      <c r="J207" s="59" t="n"/>
    </row>
    <row r="208" ht="15" customHeight="1" s="32">
      <c r="A208" s="58" t="n">
        <v>200</v>
      </c>
      <c r="B208" s="59" t="n"/>
      <c r="C208" s="59" t="n"/>
      <c r="D208" s="60" t="n"/>
      <c r="E208" s="59" t="n"/>
      <c r="F208" s="59" t="n"/>
      <c r="G208" s="59" t="n"/>
      <c r="H208" s="59" t="n"/>
      <c r="I208" s="59" t="n"/>
      <c r="J208" s="59" t="n"/>
    </row>
  </sheetData>
  <mergeCells count="4">
    <mergeCell ref="A1:J1"/>
    <mergeCell ref="L15:O17"/>
    <mergeCell ref="A4:J4"/>
    <mergeCell ref="A2:J2"/>
  </mergeCells>
  <dataValidations count="1">
    <dataValidation sqref="C9:C208" showDropDown="0" showInputMessage="0" showErrorMessage="0" allowBlank="1" type="list" errorStyle="stop" operator="between">
      <formula1>healthy,blast,brown_spot,bacterial_leaf_blight,leaf_scald,narrow_brown_spot</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2026-09-30T20:13:05Z</dcterms:created>
  <dcterms:modified xsi:type="dcterms:W3CDTF">2026-10-02T10:48:40Z</dcterms:modified>
  <cp:revision>0</cp:revision>
</cp:coreProperties>
</file>